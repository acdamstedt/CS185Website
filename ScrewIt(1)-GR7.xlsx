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Heuristic Evaluation" sheetId="1" r:id="rId5"/>
    <sheet state="visible" name="Summary" sheetId="2" r:id="rId6"/>
  </sheets>
  <definedNames>
    <definedName hidden="1" localSheetId="0" name="Z_EA1CDFAB_E699_449D_9D9B_B1B1293097FD_.wvu.FilterData">'Individual Heuristic Evaluation'!$A$9:$G$64</definedName>
    <definedName hidden="1" localSheetId="0" name="Z_C3FC6D2D_74D2_499A_9C1E_2CBFA8E0DF4A_.wvu.FilterData">'Individual Heuristic Evaluation'!$A$9:$G$64</definedName>
  </definedNames>
  <calcPr/>
  <customWorkbookViews>
    <customWorkbookView activeSheetId="0" maximized="1" windowHeight="0" windowWidth="0" guid="{C3FC6D2D-74D2-499A-9C1E-2CBFA8E0DF4A}" name="Group by Task "/>
    <customWorkbookView activeSheetId="0" maximized="1" windowHeight="0" windowWidth="0" guid="{EA1CDFAB-E699-449D-9D9B-B1B1293097FD}" name="Group by Task"/>
  </customWorkbookViews>
</workbook>
</file>

<file path=xl/sharedStrings.xml><?xml version="1.0" encoding="utf-8"?>
<sst xmlns="http://schemas.openxmlformats.org/spreadsheetml/2006/main" count="156" uniqueCount="111">
  <si>
    <t>One sentence description</t>
  </si>
  <si>
    <t>"Screw it" is a mobile app made to help novice renters and homeowners navigate home maintenance issues by using AI to identify household issues, compare DIY and professional solutions based on cost and practicality, and provide guided, step-by-step AR instructions</t>
  </si>
  <si>
    <t>Simple Task</t>
  </si>
  <si>
    <t>Identify the home maintenance problem using the camera and AI diagnostic tool</t>
  </si>
  <si>
    <t>Moderate Task</t>
  </si>
  <si>
    <t>Compare the cost, time, and feasibility of diy and professional solutions for a specific issue</t>
  </si>
  <si>
    <t>Complex Task</t>
  </si>
  <si>
    <t>Learn how to fix the problem using step-by-step instructions equipped with video and AR guidance</t>
  </si>
  <si>
    <t>*attach images here in the description column if helpful</t>
  </si>
  <si>
    <t>Problem #</t>
  </si>
  <si>
    <t>Column 2</t>
  </si>
  <si>
    <t>Column 3</t>
  </si>
  <si>
    <t>Column 4</t>
  </si>
  <si>
    <t>Description</t>
  </si>
  <si>
    <t>Rationale</t>
  </si>
  <si>
    <t>Fix</t>
  </si>
  <si>
    <t>H3: User Control &amp; Freedom</t>
  </si>
  <si>
    <t>3. Complex Task</t>
  </si>
  <si>
    <t>On the DIY tab, the user is not able to access the step-by-step instructions</t>
  </si>
  <si>
    <t>User may question the validity of other buttons with similar functions and is not able to back out of the page and may need to restart the app</t>
  </si>
  <si>
    <t>Map the button to the correct instructions rather than it being a dummy button</t>
  </si>
  <si>
    <t>H9: Help Users with Errors</t>
  </si>
  <si>
    <t>1. Simple Task</t>
  </si>
  <si>
    <t>The AI chat assumes that the user's uploaded picture has enough context to analyze and identify the issue without a fallback or error state if the AI is not able to identify the issue</t>
  </si>
  <si>
    <t>AI computer vision is imperfect on top of the user's picture not always being clear, so if the AI fails to identify the issue, the user won't be able to reupload the photo and will be stuck in a dead state</t>
  </si>
  <si>
    <t>Design a clear error message from the AI, Angie, and allow users to retake photos</t>
  </si>
  <si>
    <t>H4: Consistency &amp; Standards</t>
  </si>
  <si>
    <t>2. Moderate Task</t>
  </si>
  <si>
    <t>After uploading the image to Angie, the three buttons given are "Compare Solutions," "Step by Step Instructions," and "Find a Professional."</t>
  </si>
  <si>
    <t>I believe that the "Find a Professional" button shouldn't be on this tab since the user is still deciding whether or not they should DIY or call a professional in this stage of the fix</t>
  </si>
  <si>
    <t>Remove the "Find a Professional" button</t>
  </si>
  <si>
    <t>H6: Recognition not Recall</t>
  </si>
  <si>
    <t>When viewing the list of professionals for the "broken aerator," the cost estimate and time commitment data from the "DIY" tab are no longer visible</t>
  </si>
  <si>
    <t>The user has to keep the DIY cost and time in mind to compare it once they click on the Professional tab and vice versa</t>
  </si>
  <si>
    <t>Maintain a little section when clicking on either the DIY or Professional tab with the other's cost + time for easy comparison</t>
  </si>
  <si>
    <t>H7: Flexibility &amp; Efficiency of Use</t>
  </si>
  <si>
    <t>The instruction flow forces the user to view one step at a time and manually click "next" (e.g., step 1, step 2, step 3)</t>
  </si>
  <si>
    <t>If the user wants to quickly go back or forward to one of the steps, it must click back/next repeatedly until they reach that specific step</t>
  </si>
  <si>
    <t xml:space="preserve">Include a "View all steps" button or an overview table of contents for the user to select a specific step </t>
  </si>
  <si>
    <t>H1: Visibility of System Status</t>
  </si>
  <si>
    <t>The ar view contains text saying "move the camera around for guidance," but doesn't have visual feedback on the system's scanning progress</t>
  </si>
  <si>
    <t>User wouldn't know if the camera is actually mapping the environment, struggling to focus, or if it has found its target (sink)</t>
  </si>
  <si>
    <t>Add a visual bar of scanning in progress or status indicator</t>
  </si>
  <si>
    <t>4. All Tasks</t>
  </si>
  <si>
    <t>On the home screen, the task is labeled "find a professional," but in the comparison tabs, it is simply labeled "professional"</t>
  </si>
  <si>
    <t>Inconsistent terminology which may make the user use additional unnecessary cogntive function</t>
  </si>
  <si>
    <t>Ensure that the terminology is standardized across the app (not just this one button)</t>
  </si>
  <si>
    <t>H8: Aesthetic &amp; Minimalist Design</t>
  </si>
  <si>
    <t>The home screen has a persistent, heavy blue banner at the bottom for "ask angie a question"</t>
  </si>
  <si>
    <t>The banner competes with the primary navigation cards and clutters the bottom of the screen</t>
  </si>
  <si>
    <t>Replace the large banner with a floating button featuring the angie avatar in the bottom right corner to take up less space</t>
  </si>
  <si>
    <t>H2: Match b/w System &amp; World</t>
  </si>
  <si>
    <t>The instructions are shown on the screen in paragraph form</t>
  </si>
  <si>
    <t>This makes it harder on the user to take in the information, especially if the text is long</t>
  </si>
  <si>
    <t>Section off the instructions to make following the text easier to digest</t>
  </si>
  <si>
    <t>H5: Error Prevention</t>
  </si>
  <si>
    <t>After confirming the image being uploaded, the AI assumes that the image is able to be processed successfully</t>
  </si>
  <si>
    <t>Without a confirmation, the user does not know if the photo is good or not and may get frustrated if the AI isn't being helpful or diagnosing the wrong problem</t>
  </si>
  <si>
    <t>Have a screen or indication that shows Angie successfully processed the image to confirm to the user</t>
  </si>
  <si>
    <t>H10: Help &amp; Documentation</t>
  </si>
  <si>
    <t>The step-by-step DIY instructions for fixing the broken aerator don't include a "tools needed" checklist or a searchable glossary for the tools required</t>
  </si>
  <si>
    <t>The target audience being novice renters/homeowners likely don't know which specific tools look like, so having task-focused documentation would help clarify each tool's purpose and how to use it</t>
  </si>
  <si>
    <t>Provide a "tools required" section before the first instruction step, with each tool having a picture and definition</t>
  </si>
  <si>
    <t>The "compare solutions" screen displays a flat estimated cost without detailing what that cost entails</t>
  </si>
  <si>
    <t>In the real world, DIY costs include the parts needed as well as the tools, and since novices may not own many tools, the cost should include them or give a separate quote</t>
  </si>
  <si>
    <t>Briefly itemize the diy cost estimate (e.g., "$5 aerator + $15 required tools")</t>
  </si>
  <si>
    <t>The professionals list displays companies with ratings, but do not show the prices to compare between different companies</t>
  </si>
  <si>
    <t>A user will need to go back to a different page and recall how much each service costs</t>
  </si>
  <si>
    <t xml:space="preserve">Add a cost for each service on the main professionals list page </t>
  </si>
  <si>
    <t>5. Extra Violations</t>
  </si>
  <si>
    <t>In the home page, there is a "Browse Ideas" button that is non-functional</t>
  </si>
  <si>
    <t>Having an additional button with a description can overwhelm a user especially if there is a lot of information on the home page</t>
  </si>
  <si>
    <t>Either remove the button so the user doesn't try to click the button and wonder why it doesn't work or take away the feature so there's less information on the screen</t>
  </si>
  <si>
    <t>The stars for the professionals' ratings are not aligned with the rest of the text</t>
  </si>
  <si>
    <t>Having the stars being "all over the place" makes the user think the app is not streamlined and not well put together</t>
  </si>
  <si>
    <t>Make sure the stars align with the rest of the text</t>
  </si>
  <si>
    <t>The user can accidentally click the top of the screen, which redirects the app back to the home page</t>
  </si>
  <si>
    <t>If the user is in the middle of a DIY or step-by-step instruction and accidentally clicks either the screw button or "Screw It" button, then they will have to go through the entire process to get back to that screen</t>
  </si>
  <si>
    <t>Allow the user to access the most recent page from the home page if they were in the middle of a DIY</t>
  </si>
  <si>
    <t>After identifying the home maintenance problem, at the bottom of the screen, there are two different ways to interact with Angie</t>
  </si>
  <si>
    <t>Since there are two different ways to interact with the AI, the user may question which one to use</t>
  </si>
  <si>
    <t>Merge them into one or explicitly state the function of each</t>
  </si>
  <si>
    <t>In the README, there is a fake 500ms loading sequence before switching to the diagnosis screen. however, if the actual ai takes longer in the final product, the prototype doesn't currently demonstrate what that loading state looks like</t>
  </si>
  <si>
    <t>Users need to know if the system is actively analyzing the image or if the upload failed since a blank or static screen for several seconds violates system status visibility</t>
  </si>
  <si>
    <t>Sesign a clear "analyzing image..." loading state with a progress spinner or skeleton loader to keep the user informed during longer wait times</t>
  </si>
  <si>
    <t>The app allows users to manually type their issue into the search bar but doesn't have any fallback for typos or predictive text/auto-completeness</t>
  </si>
  <si>
    <t>The target audience being novice renters most likely won't know the correct terminology for the problems they're facing, which will lead to users facing dead ends</t>
  </si>
  <si>
    <t>Implement a predictive search dropdown that suggests correct terminology as the user types</t>
  </si>
  <si>
    <t>The app labels the difficulty of repairs using static, system-oriented terms like "Complexity: Easy"</t>
  </si>
  <si>
    <t>Novices that never used tools will have varying prior knowledge  and experience which will make the complexity highly subjective</t>
  </si>
  <si>
    <t>Translate "complexity" into descriptive, real-world effort tags such as "heavy lifting required"</t>
  </si>
  <si>
    <t>The AR screen says to "move the camera around for guidance," but offers no documentation or help on how to use the AR feature if it fails to lock onto the sink</t>
  </si>
  <si>
    <t>AR is a novel feature for many users and if they don't know how fast to pan the camera or how close to stand, they need easily retrievable instructions</t>
  </si>
  <si>
    <t>add a small "?" icon or "help" button on the AR screen that triggers a modal with quick tips on lighting and optimal camera movement</t>
  </si>
  <si>
    <t>The AI chat response from Angie is presented as a dense block of text within a small chat bubble</t>
  </si>
  <si>
    <t xml:space="preserve">Large and dense text blocks are difficult to read and scan on mobile devices which diminish the text's effectiveness </t>
  </si>
  <si>
    <t>Break the AI text into chunks or bullet points for easier readability</t>
  </si>
  <si>
    <t>Similar problem with 10, but when uploading an image, there is no fallback for cases with failed image uploads</t>
  </si>
  <si>
    <t>If the user uploads a bad image or the AI is not able to correctly diagnose the issue, the user will be stuck and not know what to do, left in a dead state</t>
  </si>
  <si>
    <t>Add a reupload button or have an indicator that says the photo could not be processed</t>
  </si>
  <si>
    <t>The search screen displays "recent searches", but lacks a way for the user to clear this history or "save/bookmark" a specific repair guide for later</t>
  </si>
  <si>
    <t>A user might quickly research a problem but need to look at the parts list once they're at the hardware store, making them look through their recently searched before finding the parts list</t>
  </si>
  <si>
    <t>Add a "bookmark" icon next to specific issues and guides so users can tailor their profile with saved projects, and provide an "x" to clear unwanted recent searches</t>
  </si>
  <si>
    <t>Angie provides detailed diagonses but there is no native way to copy/share/export the text</t>
  </si>
  <si>
    <t>Renters frequently need to submit maintenance request tickets or text their landlords about broken fixtures and if they cannot easily copy the AI's professional diagnosis, they are forced into manually re-typing the information</t>
  </si>
  <si>
    <t>Add a "share" or "copy to clipboard" icon directly beneath Angie's diagnostic chat bubbles</t>
  </si>
  <si>
    <t>Heuristic</t>
  </si>
  <si>
    <t># Violations</t>
  </si>
  <si>
    <t>Overall Recommendations</t>
  </si>
  <si>
    <t>As I went through the "Screw It" Prototype, I feel like it greatly deepened my understanding of the product where it successfully targets a highly practical problem for renters and homeowners by breaking down home maintenance into actionable steps. However, there was a consistent trend across the heuristic evaluation which was thath there was a lack of interconnectedness. between the different modules and misses safety nets for the tech featuers like AR and AI image uploading. Also, the app also currently relies on users bridging the gap between identifying an issue and getting the instructions for it themselves. However, most of these are likely because of the medium-fi nature of the Figma prototype and will most likely be fleshed out before the final design. One recommendation I have is to integrate the task flows directly into the AI chat, since the AI acts independently as a consultant. The app could make Angie the central hub and once an issue is successfully diagnosed, the chat interface can auto generate actionable buttons like "start DIY guide" directly in the chat log, which would prevent users from backing out and manually searching for a specific problem in a different tab. Another recommendation I have is to have more robust error handling for the camera/AR features. Currently, the app heavily relies on computer vision and if for whatever reason the image upload is unsuccessful or the AR is not able to function properly, the app should account for this by implementing confirmation screens before processing images and provide clear fallback options when the AI fails. I believe this would increase the user experience in the app so they don't feel lost and unsupported at different stages of the process. Also, I think the app could also greatly benefit from an implementation of a safety-first mode for some of the higher risk repairs or maybe state the risk level of each repair as they are identified. For the high risk repairs, the app could include a mandatory safety checklist.</t>
  </si>
  <si>
    <t>Total Violations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</si>
</sst>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i/>
      <color theme="1"/>
      <name val="Arial"/>
      <scheme val="minor"/>
    </font>
    <font/>
    <font>
      <color theme="1"/>
      <name val="Google Sans Mono"/>
    </font>
    <font>
      <sz val="9.0"/>
      <color rgb="FF000000"/>
      <name val="Google Sans Mono"/>
    </font>
  </fonts>
  <fills count="5">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0" fillId="2" fontId="1" numFmtId="0" xfId="0" applyAlignment="1" applyFill="1" applyFont="1">
      <alignment horizontal="left" readingOrder="0" shrinkToFit="0" wrapText="1"/>
    </xf>
    <xf borderId="0" fillId="0" fontId="2" numFmtId="0" xfId="0" applyAlignment="1" applyFont="1">
      <alignment readingOrder="0"/>
    </xf>
    <xf borderId="0" fillId="0" fontId="3" numFmtId="0" xfId="0" applyAlignment="1" applyFont="1">
      <alignment horizontal="left" readingOrder="0" shrinkToFit="0" wrapText="1"/>
    </xf>
    <xf borderId="0" fillId="2" fontId="1" numFmtId="0" xfId="0" applyAlignment="1" applyFont="1">
      <alignment horizontal="left" readingOrder="0" shrinkToFit="0" vertical="top" wrapText="1"/>
    </xf>
    <xf borderId="0" fillId="0" fontId="2" numFmtId="0" xfId="0" applyFont="1"/>
    <xf borderId="0" fillId="0" fontId="2" numFmtId="0" xfId="0" applyAlignment="1" applyFont="1">
      <alignment horizontal="left" readingOrder="0" shrinkToFit="0" vertical="center" wrapText="1"/>
    </xf>
    <xf borderId="0" fillId="0" fontId="2" numFmtId="49" xfId="0" applyAlignment="1" applyFont="1" applyNumberFormat="1">
      <alignment horizontal="left" shrinkToFit="0" vertical="center" wrapText="0"/>
    </xf>
    <xf borderId="0" fillId="0" fontId="2" numFmtId="49" xfId="0" applyAlignment="1" applyFont="1" applyNumberFormat="1">
      <alignment horizontal="left" shrinkToFit="0" vertical="center" wrapText="0"/>
    </xf>
    <xf borderId="0" fillId="0" fontId="2" numFmtId="0" xfId="0" applyAlignment="1" applyFont="1">
      <alignment horizontal="left" readingOrder="0" shrinkToFit="0" vertical="top"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49" xfId="0" applyAlignment="1" applyFont="1" applyNumberFormat="1">
      <alignment readingOrder="0" shrinkToFit="0" vertical="center" wrapText="0"/>
    </xf>
    <xf borderId="0" fillId="0" fontId="2" numFmtId="49" xfId="0" applyAlignment="1" applyFont="1" applyNumberFormat="1">
      <alignment readingOrder="0" shrinkToFit="0" vertical="top" wrapText="1"/>
    </xf>
    <xf borderId="0" fillId="0" fontId="2" numFmtId="0" xfId="0" applyAlignment="1" applyFont="1">
      <alignment readingOrder="0" shrinkToFit="0" vertical="top" wrapText="1"/>
    </xf>
    <xf borderId="0" fillId="0" fontId="2" numFmtId="49" xfId="0" applyAlignment="1" applyFont="1" applyNumberFormat="1">
      <alignment readingOrder="0" shrinkToFit="0" vertical="center" wrapText="1"/>
    </xf>
    <xf borderId="0" fillId="0" fontId="2" numFmtId="0" xfId="0" applyAlignment="1" applyFont="1">
      <alignment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1"/>
    </xf>
    <xf borderId="0" fillId="0" fontId="2" numFmtId="49" xfId="0" applyAlignment="1" applyFont="1" applyNumberFormat="1">
      <alignment shrinkToFit="0" vertical="center" wrapText="0"/>
    </xf>
    <xf borderId="0" fillId="0" fontId="2" numFmtId="0" xfId="0" applyAlignment="1" applyFont="1">
      <alignment shrinkToFit="0" vertical="center" wrapText="1"/>
    </xf>
    <xf borderId="0" fillId="0" fontId="2" numFmtId="0" xfId="0" applyAlignment="1" applyFont="1">
      <alignment shrinkToFit="0" vertical="center" wrapText="0"/>
    </xf>
    <xf borderId="1" fillId="3" fontId="1" numFmtId="0" xfId="0" applyAlignment="1" applyBorder="1" applyFill="1" applyFont="1">
      <alignment readingOrder="0"/>
    </xf>
    <xf borderId="2" fillId="3" fontId="1" numFmtId="0" xfId="0" applyAlignment="1" applyBorder="1" applyFont="1">
      <alignment readingOrder="0"/>
    </xf>
    <xf borderId="3" fillId="0" fontId="4" numFmtId="0" xfId="0" applyBorder="1" applyFont="1"/>
    <xf borderId="2" fillId="0" fontId="4" numFmtId="0" xfId="0" applyBorder="1" applyFont="1"/>
    <xf borderId="4" fillId="0" fontId="0" numFmtId="0" xfId="0" applyAlignment="1" applyBorder="1" applyFont="1">
      <alignment readingOrder="0"/>
    </xf>
    <xf borderId="5" fillId="0" fontId="5" numFmtId="0" xfId="0" applyBorder="1" applyFont="1"/>
    <xf borderId="4" fillId="0" fontId="3" numFmtId="0" xfId="0" applyAlignment="1" applyBorder="1" applyFont="1">
      <alignment readingOrder="0" shrinkToFit="0" vertical="top" wrapText="1"/>
    </xf>
    <xf borderId="5" fillId="0" fontId="4" numFmtId="0" xfId="0" applyBorder="1" applyFont="1"/>
    <xf borderId="4" fillId="0" fontId="0" numFmtId="0" xfId="0" applyAlignment="1" applyBorder="1" applyFont="1">
      <alignment horizontal="left" readingOrder="0" shrinkToFit="0" wrapText="1"/>
    </xf>
    <xf borderId="5" fillId="4" fontId="6" numFmtId="0" xfId="0" applyBorder="1" applyFill="1" applyFont="1"/>
    <xf borderId="4" fillId="0" fontId="4" numFmtId="0" xfId="0" applyBorder="1" applyFont="1"/>
    <xf borderId="6" fillId="0" fontId="1" numFmtId="0" xfId="0" applyAlignment="1" applyBorder="1" applyFont="1">
      <alignment readingOrder="0" vertical="top"/>
    </xf>
    <xf borderId="7" fillId="0" fontId="5" numFmtId="0" xfId="0" applyAlignment="1" applyBorder="1" applyFont="1">
      <alignment vertical="top"/>
    </xf>
    <xf borderId="6" fillId="0" fontId="4" numFmtId="0" xfId="0" applyBorder="1" applyFont="1"/>
    <xf borderId="8" fillId="0" fontId="4" numFmtId="0" xfId="0" applyBorder="1" applyFont="1"/>
    <xf borderId="7" fillId="0" fontId="4"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Individual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G64" displayName="Individual_Heuristic_Evaluations" name="Individual_Heuristic_Evaluations" id="1">
  <tableColumns count="7">
    <tableColumn name="Problem #" id="1"/>
    <tableColumn name="Column 2" id="2"/>
    <tableColumn name="Column 3" id="3"/>
    <tableColumn name="Column 4" id="4"/>
    <tableColumn name="Description" id="5"/>
    <tableColumn name="Rationale" id="6"/>
    <tableColumn name="Fix" id="7"/>
  </tableColumns>
  <tableStyleInfo name="Individual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31.5"/>
    <col customWidth="1" min="2" max="2" width="30.13"/>
    <col customWidth="1" min="3" max="10" width="22.63"/>
    <col customWidth="1" min="11" max="11" width="15.13"/>
  </cols>
  <sheetData>
    <row r="1" ht="42.0" customHeight="1">
      <c r="A1" s="1" t="s">
        <v>0</v>
      </c>
      <c r="B1" s="2" t="s">
        <v>1</v>
      </c>
      <c r="F1" s="3"/>
      <c r="G1" s="3"/>
    </row>
    <row r="2">
      <c r="A2" s="3"/>
      <c r="B2" s="3"/>
      <c r="C2" s="3"/>
      <c r="D2" s="3"/>
      <c r="E2" s="3"/>
      <c r="F2" s="3"/>
      <c r="G2" s="3"/>
    </row>
    <row r="3">
      <c r="A3" s="4" t="s">
        <v>2</v>
      </c>
      <c r="B3" s="5" t="s">
        <v>3</v>
      </c>
      <c r="C3" s="6"/>
      <c r="D3" s="6"/>
      <c r="E3" s="6"/>
      <c r="F3" s="3"/>
      <c r="G3" s="3"/>
    </row>
    <row r="4">
      <c r="A4" s="4" t="s">
        <v>4</v>
      </c>
      <c r="B4" s="5" t="s">
        <v>5</v>
      </c>
      <c r="C4" s="6"/>
      <c r="D4" s="6"/>
      <c r="E4" s="6"/>
      <c r="F4" s="3"/>
      <c r="G4" s="3"/>
    </row>
    <row r="5">
      <c r="A5" s="7" t="s">
        <v>6</v>
      </c>
      <c r="B5" s="5" t="s">
        <v>7</v>
      </c>
      <c r="C5" s="6"/>
      <c r="D5" s="6"/>
      <c r="E5" s="6"/>
      <c r="F5" s="3"/>
      <c r="G5" s="3"/>
    </row>
    <row r="6">
      <c r="A6" s="3"/>
      <c r="B6" s="3"/>
      <c r="C6" s="3"/>
      <c r="D6" s="3"/>
      <c r="E6" s="3"/>
      <c r="F6" s="3"/>
      <c r="G6" s="3"/>
    </row>
    <row r="7">
      <c r="A7" s="3"/>
      <c r="B7" s="3"/>
      <c r="C7" s="8"/>
      <c r="D7" s="3"/>
      <c r="E7" s="3"/>
      <c r="F7" s="3"/>
      <c r="G7" s="3"/>
    </row>
    <row r="8">
      <c r="A8" s="3"/>
      <c r="B8" s="3"/>
      <c r="C8" s="8"/>
      <c r="D8" s="8"/>
      <c r="E8" s="6" t="s">
        <v>8</v>
      </c>
      <c r="F8" s="3"/>
      <c r="G8" s="3"/>
    </row>
    <row r="9" ht="22.5" customHeight="1">
      <c r="A9" s="9" t="s">
        <v>9</v>
      </c>
      <c r="B9" s="10" t="s">
        <v>10</v>
      </c>
      <c r="C9" s="11" t="s">
        <v>11</v>
      </c>
      <c r="D9" s="11" t="s">
        <v>12</v>
      </c>
      <c r="E9" s="9" t="s">
        <v>13</v>
      </c>
      <c r="F9" s="9" t="s">
        <v>14</v>
      </c>
      <c r="G9" s="9" t="s">
        <v>15</v>
      </c>
    </row>
    <row r="10" ht="18.0" customHeight="1">
      <c r="A10" s="12">
        <v>1.0</v>
      </c>
      <c r="B10" s="13" t="s">
        <v>16</v>
      </c>
      <c r="C10" s="14" t="s">
        <v>17</v>
      </c>
      <c r="D10" s="14">
        <v>4.0</v>
      </c>
      <c r="E10" s="15" t="s">
        <v>18</v>
      </c>
      <c r="F10" s="16" t="s">
        <v>19</v>
      </c>
      <c r="G10" s="16" t="s">
        <v>20</v>
      </c>
    </row>
    <row r="11" ht="18.75" customHeight="1">
      <c r="A11" s="12">
        <v>2.0</v>
      </c>
      <c r="B11" s="13" t="s">
        <v>21</v>
      </c>
      <c r="C11" s="14" t="s">
        <v>22</v>
      </c>
      <c r="D11" s="14">
        <v>4.0</v>
      </c>
      <c r="E11" s="15" t="s">
        <v>23</v>
      </c>
      <c r="F11" s="16" t="s">
        <v>24</v>
      </c>
      <c r="G11" s="16" t="s">
        <v>25</v>
      </c>
    </row>
    <row r="12" ht="22.5" customHeight="1">
      <c r="A12" s="12">
        <v>3.0</v>
      </c>
      <c r="B12" s="13" t="s">
        <v>26</v>
      </c>
      <c r="C12" s="14" t="s">
        <v>27</v>
      </c>
      <c r="D12" s="14">
        <v>3.0</v>
      </c>
      <c r="E12" s="15" t="s">
        <v>28</v>
      </c>
      <c r="F12" s="16" t="s">
        <v>29</v>
      </c>
      <c r="G12" s="16" t="s">
        <v>30</v>
      </c>
    </row>
    <row r="13" ht="22.5" customHeight="1">
      <c r="A13" s="12">
        <v>4.0</v>
      </c>
      <c r="B13" s="13" t="s">
        <v>31</v>
      </c>
      <c r="C13" s="14" t="s">
        <v>27</v>
      </c>
      <c r="D13" s="14">
        <v>3.0</v>
      </c>
      <c r="E13" s="17" t="s">
        <v>32</v>
      </c>
      <c r="F13" s="16" t="s">
        <v>33</v>
      </c>
      <c r="G13" s="16" t="s">
        <v>34</v>
      </c>
    </row>
    <row r="14" ht="22.5" customHeight="1">
      <c r="A14" s="12">
        <v>5.0</v>
      </c>
      <c r="B14" s="13" t="s">
        <v>35</v>
      </c>
      <c r="C14" s="14" t="s">
        <v>17</v>
      </c>
      <c r="D14" s="14">
        <v>4.0</v>
      </c>
      <c r="E14" s="17" t="s">
        <v>36</v>
      </c>
      <c r="F14" s="16" t="s">
        <v>37</v>
      </c>
      <c r="G14" s="16" t="s">
        <v>38</v>
      </c>
    </row>
    <row r="15" ht="22.5" customHeight="1">
      <c r="A15" s="12">
        <v>6.0</v>
      </c>
      <c r="B15" s="13" t="s">
        <v>39</v>
      </c>
      <c r="C15" s="14" t="s">
        <v>17</v>
      </c>
      <c r="D15" s="14">
        <v>2.0</v>
      </c>
      <c r="E15" s="17" t="s">
        <v>40</v>
      </c>
      <c r="F15" s="16" t="s">
        <v>41</v>
      </c>
      <c r="G15" s="16" t="s">
        <v>42</v>
      </c>
    </row>
    <row r="16" ht="22.5" customHeight="1">
      <c r="A16" s="12">
        <v>7.0</v>
      </c>
      <c r="B16" s="13" t="s">
        <v>26</v>
      </c>
      <c r="C16" s="14" t="s">
        <v>43</v>
      </c>
      <c r="D16" s="14">
        <v>1.0</v>
      </c>
      <c r="E16" s="17" t="s">
        <v>44</v>
      </c>
      <c r="F16" s="16" t="s">
        <v>45</v>
      </c>
      <c r="G16" s="16" t="s">
        <v>46</v>
      </c>
    </row>
    <row r="17" ht="22.5" customHeight="1">
      <c r="A17" s="12">
        <v>8.0</v>
      </c>
      <c r="B17" s="13" t="s">
        <v>47</v>
      </c>
      <c r="C17" s="14" t="s">
        <v>22</v>
      </c>
      <c r="D17" s="14">
        <v>1.0</v>
      </c>
      <c r="E17" s="18" t="s">
        <v>48</v>
      </c>
      <c r="F17" s="19" t="s">
        <v>49</v>
      </c>
      <c r="G17" s="19" t="s">
        <v>50</v>
      </c>
    </row>
    <row r="18" ht="22.5" customHeight="1">
      <c r="A18" s="12">
        <v>9.0</v>
      </c>
      <c r="B18" s="13" t="s">
        <v>51</v>
      </c>
      <c r="C18" s="14" t="s">
        <v>17</v>
      </c>
      <c r="D18" s="14">
        <v>1.0</v>
      </c>
      <c r="E18" s="18" t="s">
        <v>52</v>
      </c>
      <c r="F18" s="19" t="s">
        <v>53</v>
      </c>
      <c r="G18" s="19" t="s">
        <v>54</v>
      </c>
    </row>
    <row r="19" ht="22.5" customHeight="1">
      <c r="A19" s="12">
        <v>10.0</v>
      </c>
      <c r="B19" s="13" t="s">
        <v>55</v>
      </c>
      <c r="C19" s="14" t="s">
        <v>22</v>
      </c>
      <c r="D19" s="14">
        <v>3.0</v>
      </c>
      <c r="E19" s="18" t="s">
        <v>56</v>
      </c>
      <c r="F19" s="19" t="s">
        <v>57</v>
      </c>
      <c r="G19" s="19" t="s">
        <v>58</v>
      </c>
    </row>
    <row r="20" ht="22.5" customHeight="1">
      <c r="A20" s="12">
        <v>11.0</v>
      </c>
      <c r="B20" s="13" t="s">
        <v>59</v>
      </c>
      <c r="C20" s="14" t="s">
        <v>17</v>
      </c>
      <c r="D20" s="14">
        <v>2.0</v>
      </c>
      <c r="E20" s="18" t="s">
        <v>60</v>
      </c>
      <c r="F20" s="16" t="s">
        <v>61</v>
      </c>
      <c r="G20" s="19" t="s">
        <v>62</v>
      </c>
    </row>
    <row r="21" ht="22.5" customHeight="1">
      <c r="A21" s="12">
        <v>12.0</v>
      </c>
      <c r="B21" s="13" t="s">
        <v>51</v>
      </c>
      <c r="C21" s="14" t="s">
        <v>27</v>
      </c>
      <c r="D21" s="14">
        <v>2.0</v>
      </c>
      <c r="E21" s="18" t="s">
        <v>63</v>
      </c>
      <c r="F21" s="16" t="s">
        <v>64</v>
      </c>
      <c r="G21" s="19" t="s">
        <v>65</v>
      </c>
    </row>
    <row r="22" ht="22.5" customHeight="1">
      <c r="A22" s="12">
        <v>13.0</v>
      </c>
      <c r="B22" s="13" t="s">
        <v>31</v>
      </c>
      <c r="C22" s="14" t="s">
        <v>27</v>
      </c>
      <c r="D22" s="14">
        <v>2.0</v>
      </c>
      <c r="E22" s="15" t="s">
        <v>66</v>
      </c>
      <c r="F22" s="16" t="s">
        <v>67</v>
      </c>
      <c r="G22" s="16" t="s">
        <v>68</v>
      </c>
    </row>
    <row r="23" ht="22.5" customHeight="1">
      <c r="A23" s="12">
        <v>14.0</v>
      </c>
      <c r="B23" s="13" t="s">
        <v>47</v>
      </c>
      <c r="C23" s="14" t="s">
        <v>69</v>
      </c>
      <c r="D23" s="14">
        <v>1.0</v>
      </c>
      <c r="E23" s="15" t="s">
        <v>70</v>
      </c>
      <c r="F23" s="16" t="s">
        <v>71</v>
      </c>
      <c r="G23" s="16" t="s">
        <v>72</v>
      </c>
    </row>
    <row r="24" ht="22.5" customHeight="1">
      <c r="A24" s="12">
        <v>15.0</v>
      </c>
      <c r="B24" s="13" t="s">
        <v>47</v>
      </c>
      <c r="C24" s="14" t="s">
        <v>27</v>
      </c>
      <c r="D24" s="14">
        <v>1.0</v>
      </c>
      <c r="E24" s="20" t="s">
        <v>73</v>
      </c>
      <c r="F24" s="16" t="s">
        <v>74</v>
      </c>
      <c r="G24" s="16" t="s">
        <v>75</v>
      </c>
    </row>
    <row r="25" ht="17.25" customHeight="1">
      <c r="A25" s="12">
        <v>16.0</v>
      </c>
      <c r="B25" s="13" t="s">
        <v>55</v>
      </c>
      <c r="C25" s="14" t="s">
        <v>69</v>
      </c>
      <c r="D25" s="14">
        <v>4.0</v>
      </c>
      <c r="E25" s="15" t="s">
        <v>76</v>
      </c>
      <c r="F25" s="16" t="s">
        <v>77</v>
      </c>
      <c r="G25" s="16" t="s">
        <v>78</v>
      </c>
    </row>
    <row r="26" ht="22.5" customHeight="1">
      <c r="A26" s="12">
        <v>17.0</v>
      </c>
      <c r="B26" s="13" t="s">
        <v>26</v>
      </c>
      <c r="C26" s="14" t="s">
        <v>27</v>
      </c>
      <c r="D26" s="14">
        <v>1.0</v>
      </c>
      <c r="E26" s="20" t="s">
        <v>79</v>
      </c>
      <c r="F26" s="16" t="s">
        <v>80</v>
      </c>
      <c r="G26" s="16" t="s">
        <v>81</v>
      </c>
    </row>
    <row r="27" ht="22.5" customHeight="1">
      <c r="A27" s="12">
        <v>18.0</v>
      </c>
      <c r="B27" s="13" t="s">
        <v>39</v>
      </c>
      <c r="C27" s="14" t="s">
        <v>22</v>
      </c>
      <c r="D27" s="14">
        <v>2.0</v>
      </c>
      <c r="E27" s="15" t="s">
        <v>82</v>
      </c>
      <c r="F27" s="16" t="s">
        <v>83</v>
      </c>
      <c r="G27" s="16" t="s">
        <v>84</v>
      </c>
    </row>
    <row r="28" ht="22.5" customHeight="1">
      <c r="A28" s="12">
        <v>19.0</v>
      </c>
      <c r="B28" s="13" t="s">
        <v>55</v>
      </c>
      <c r="C28" s="14" t="s">
        <v>22</v>
      </c>
      <c r="D28" s="14">
        <v>3.0</v>
      </c>
      <c r="E28" s="15" t="s">
        <v>85</v>
      </c>
      <c r="F28" s="16" t="s">
        <v>86</v>
      </c>
      <c r="G28" s="16" t="s">
        <v>87</v>
      </c>
    </row>
    <row r="29" ht="22.5" customHeight="1">
      <c r="A29" s="12">
        <v>20.0</v>
      </c>
      <c r="B29" s="13" t="s">
        <v>51</v>
      </c>
      <c r="C29" s="14" t="s">
        <v>27</v>
      </c>
      <c r="D29" s="14">
        <v>2.0</v>
      </c>
      <c r="E29" s="15" t="s">
        <v>88</v>
      </c>
      <c r="F29" s="19" t="s">
        <v>89</v>
      </c>
      <c r="G29" s="19" t="s">
        <v>90</v>
      </c>
    </row>
    <row r="30" ht="22.5" customHeight="1">
      <c r="A30" s="12">
        <v>21.0</v>
      </c>
      <c r="B30" s="13" t="s">
        <v>59</v>
      </c>
      <c r="C30" s="14" t="s">
        <v>17</v>
      </c>
      <c r="D30" s="14">
        <v>2.0</v>
      </c>
      <c r="E30" s="15" t="s">
        <v>91</v>
      </c>
      <c r="F30" s="16" t="s">
        <v>92</v>
      </c>
      <c r="G30" s="16" t="s">
        <v>93</v>
      </c>
    </row>
    <row r="31" ht="22.5" customHeight="1">
      <c r="A31" s="12">
        <v>22.0</v>
      </c>
      <c r="B31" s="13" t="s">
        <v>47</v>
      </c>
      <c r="C31" s="14" t="s">
        <v>22</v>
      </c>
      <c r="D31" s="14">
        <v>2.0</v>
      </c>
      <c r="E31" s="15" t="s">
        <v>94</v>
      </c>
      <c r="F31" s="16" t="s">
        <v>95</v>
      </c>
      <c r="G31" s="16" t="s">
        <v>96</v>
      </c>
    </row>
    <row r="32" ht="22.5" customHeight="1">
      <c r="A32" s="12">
        <v>23.0</v>
      </c>
      <c r="B32" s="13" t="s">
        <v>55</v>
      </c>
      <c r="C32" s="14" t="s">
        <v>22</v>
      </c>
      <c r="D32" s="14">
        <v>3.0</v>
      </c>
      <c r="E32" s="15" t="s">
        <v>97</v>
      </c>
      <c r="F32" s="16" t="s">
        <v>98</v>
      </c>
      <c r="G32" s="16" t="s">
        <v>99</v>
      </c>
    </row>
    <row r="33" ht="22.5" customHeight="1">
      <c r="A33" s="12">
        <v>24.0</v>
      </c>
      <c r="B33" s="13" t="s">
        <v>35</v>
      </c>
      <c r="C33" s="14" t="s">
        <v>27</v>
      </c>
      <c r="D33" s="14">
        <v>2.0</v>
      </c>
      <c r="E33" s="15" t="s">
        <v>100</v>
      </c>
      <c r="F33" s="16" t="s">
        <v>101</v>
      </c>
      <c r="G33" s="16" t="s">
        <v>102</v>
      </c>
    </row>
    <row r="34" ht="21.0" customHeight="1">
      <c r="A34" s="12">
        <v>25.0</v>
      </c>
      <c r="B34" s="13" t="s">
        <v>16</v>
      </c>
      <c r="C34" s="14" t="s">
        <v>43</v>
      </c>
      <c r="D34" s="14">
        <v>2.0</v>
      </c>
      <c r="E34" s="15" t="s">
        <v>103</v>
      </c>
      <c r="F34" s="16" t="s">
        <v>104</v>
      </c>
      <c r="G34" s="16" t="s">
        <v>105</v>
      </c>
    </row>
    <row r="35" ht="27.0" customHeight="1">
      <c r="A35" s="12">
        <v>26.0</v>
      </c>
      <c r="B35" s="21"/>
      <c r="C35" s="22"/>
      <c r="D35" s="22"/>
      <c r="E35" s="15"/>
      <c r="F35" s="16"/>
      <c r="G35" s="16"/>
    </row>
    <row r="36" ht="22.5" customHeight="1">
      <c r="A36" s="12">
        <v>27.0</v>
      </c>
      <c r="B36" s="21"/>
      <c r="C36" s="22"/>
      <c r="D36" s="22"/>
      <c r="E36" s="15"/>
      <c r="F36" s="16"/>
      <c r="G36" s="16"/>
    </row>
    <row r="37" ht="22.5" customHeight="1">
      <c r="A37" s="12">
        <v>28.0</v>
      </c>
      <c r="B37" s="21"/>
      <c r="C37" s="22"/>
      <c r="D37" s="22"/>
      <c r="E37" s="15"/>
      <c r="F37" s="16"/>
      <c r="G37" s="16"/>
    </row>
    <row r="38" ht="22.5" customHeight="1">
      <c r="A38" s="12">
        <v>29.0</v>
      </c>
      <c r="B38" s="21"/>
      <c r="C38" s="22"/>
      <c r="D38" s="22"/>
      <c r="E38" s="18"/>
      <c r="F38" s="16"/>
      <c r="G38" s="16"/>
    </row>
    <row r="39" ht="22.5" customHeight="1">
      <c r="A39" s="12">
        <v>30.0</v>
      </c>
      <c r="B39" s="21"/>
      <c r="C39" s="22"/>
      <c r="D39" s="22"/>
      <c r="E39" s="15"/>
      <c r="F39" s="16"/>
      <c r="G39" s="23"/>
    </row>
    <row r="40" ht="22.5" customHeight="1">
      <c r="A40" s="12">
        <v>31.0</v>
      </c>
      <c r="B40" s="21"/>
      <c r="C40" s="22"/>
      <c r="D40" s="22"/>
      <c r="E40" s="20"/>
      <c r="F40" s="16"/>
      <c r="G40" s="16"/>
    </row>
    <row r="41" ht="22.5" customHeight="1">
      <c r="A41" s="12">
        <v>32.0</v>
      </c>
      <c r="B41" s="21"/>
      <c r="C41" s="22"/>
      <c r="D41" s="22"/>
      <c r="E41" s="15"/>
      <c r="F41" s="16"/>
      <c r="G41" s="16"/>
    </row>
    <row r="42" ht="22.5" customHeight="1">
      <c r="A42" s="12">
        <v>33.0</v>
      </c>
      <c r="B42" s="21"/>
      <c r="C42" s="22"/>
      <c r="D42" s="22"/>
      <c r="E42" s="18"/>
      <c r="F42" s="16"/>
      <c r="G42" s="16"/>
    </row>
    <row r="43" ht="22.5" customHeight="1">
      <c r="A43" s="12">
        <v>34.0</v>
      </c>
      <c r="B43" s="21"/>
      <c r="C43" s="22"/>
      <c r="D43" s="22"/>
      <c r="E43" s="20"/>
      <c r="F43" s="16"/>
      <c r="G43" s="16"/>
    </row>
    <row r="44" ht="22.5" customHeight="1">
      <c r="A44" s="12">
        <v>35.0</v>
      </c>
      <c r="B44" s="21"/>
      <c r="C44" s="22"/>
      <c r="D44" s="22"/>
      <c r="E44" s="20"/>
      <c r="F44" s="16"/>
      <c r="G44" s="23"/>
    </row>
    <row r="45" ht="22.5" customHeight="1">
      <c r="A45" s="12">
        <v>36.0</v>
      </c>
      <c r="B45" s="21"/>
      <c r="C45" s="22"/>
      <c r="D45" s="22"/>
      <c r="E45" s="15"/>
      <c r="F45" s="16"/>
      <c r="G45" s="16"/>
    </row>
    <row r="46" ht="22.5" customHeight="1">
      <c r="A46" s="12">
        <v>37.0</v>
      </c>
      <c r="B46" s="21"/>
      <c r="C46" s="22"/>
      <c r="D46" s="22"/>
      <c r="E46" s="15"/>
      <c r="F46" s="16"/>
      <c r="G46" s="16"/>
    </row>
    <row r="47" ht="22.5" customHeight="1">
      <c r="A47" s="12">
        <v>38.0</v>
      </c>
      <c r="B47" s="21"/>
      <c r="C47" s="22"/>
      <c r="D47" s="22"/>
      <c r="E47" s="18"/>
      <c r="F47" s="23"/>
      <c r="G47" s="16"/>
    </row>
    <row r="48" ht="22.5" customHeight="1">
      <c r="A48" s="12">
        <v>39.0</v>
      </c>
      <c r="B48" s="21"/>
      <c r="C48" s="22"/>
      <c r="D48" s="22"/>
      <c r="E48" s="15"/>
      <c r="F48" s="16"/>
      <c r="G48" s="23"/>
    </row>
    <row r="49" ht="22.5" customHeight="1">
      <c r="A49" s="12">
        <v>40.0</v>
      </c>
      <c r="B49" s="21"/>
      <c r="C49" s="22"/>
      <c r="D49" s="22"/>
      <c r="E49" s="18"/>
      <c r="F49" s="16"/>
      <c r="G49" s="16"/>
    </row>
    <row r="50" ht="22.5" customHeight="1">
      <c r="A50" s="12">
        <v>41.0</v>
      </c>
      <c r="B50" s="21"/>
      <c r="C50" s="22"/>
      <c r="D50" s="22"/>
      <c r="E50" s="15"/>
      <c r="F50" s="23"/>
      <c r="G50" s="16"/>
    </row>
    <row r="51" ht="22.5" customHeight="1">
      <c r="A51" s="12">
        <v>42.0</v>
      </c>
      <c r="B51" s="21"/>
      <c r="C51" s="22"/>
      <c r="D51" s="22"/>
      <c r="E51" s="24"/>
      <c r="F51" s="25"/>
      <c r="G51" s="26"/>
    </row>
    <row r="52" ht="22.5" customHeight="1">
      <c r="A52" s="12">
        <v>43.0</v>
      </c>
      <c r="B52" s="21"/>
      <c r="C52" s="22"/>
      <c r="D52" s="22"/>
      <c r="E52" s="24"/>
      <c r="F52" s="26"/>
      <c r="G52" s="26"/>
    </row>
    <row r="53" ht="22.5" customHeight="1">
      <c r="A53" s="12">
        <v>44.0</v>
      </c>
      <c r="B53" s="21"/>
      <c r="C53" s="22"/>
      <c r="D53" s="22"/>
      <c r="E53" s="24"/>
      <c r="F53" s="26"/>
      <c r="G53" s="26"/>
    </row>
    <row r="54" ht="22.5" customHeight="1">
      <c r="A54" s="12">
        <v>45.0</v>
      </c>
      <c r="B54" s="21"/>
      <c r="C54" s="22"/>
      <c r="D54" s="22"/>
      <c r="E54" s="24"/>
      <c r="F54" s="26"/>
      <c r="G54" s="26"/>
    </row>
    <row r="55" ht="22.5" customHeight="1">
      <c r="A55" s="12">
        <v>46.0</v>
      </c>
      <c r="B55" s="21"/>
      <c r="C55" s="22"/>
      <c r="D55" s="22"/>
      <c r="E55" s="24"/>
      <c r="F55" s="26"/>
      <c r="G55" s="26"/>
    </row>
    <row r="56" ht="22.5" customHeight="1">
      <c r="A56" s="12">
        <v>47.0</v>
      </c>
      <c r="B56" s="21"/>
      <c r="C56" s="22"/>
      <c r="D56" s="22"/>
      <c r="E56" s="24"/>
      <c r="F56" s="26"/>
      <c r="G56" s="26"/>
    </row>
    <row r="57" ht="22.5" customHeight="1">
      <c r="A57" s="12">
        <v>48.0</v>
      </c>
      <c r="B57" s="21"/>
      <c r="C57" s="22"/>
      <c r="D57" s="22"/>
      <c r="E57" s="24"/>
      <c r="F57" s="26"/>
      <c r="G57" s="26"/>
    </row>
    <row r="58" ht="22.5" customHeight="1">
      <c r="A58" s="12">
        <v>49.0</v>
      </c>
      <c r="B58" s="21"/>
      <c r="C58" s="22"/>
      <c r="D58" s="22"/>
      <c r="E58" s="24"/>
      <c r="F58" s="26"/>
      <c r="G58" s="26"/>
    </row>
    <row r="59" ht="22.5" customHeight="1">
      <c r="A59" s="12">
        <v>50.0</v>
      </c>
      <c r="B59" s="21"/>
      <c r="C59" s="22"/>
      <c r="D59" s="22"/>
      <c r="E59" s="24"/>
      <c r="F59" s="26"/>
      <c r="G59" s="26"/>
    </row>
    <row r="60" ht="22.5" customHeight="1">
      <c r="A60" s="12">
        <v>51.0</v>
      </c>
      <c r="B60" s="21"/>
      <c r="C60" s="22"/>
      <c r="D60" s="22"/>
      <c r="E60" s="24"/>
      <c r="F60" s="26"/>
      <c r="G60" s="26"/>
    </row>
    <row r="61" ht="22.5" customHeight="1">
      <c r="A61" s="12">
        <v>52.0</v>
      </c>
      <c r="B61" s="21"/>
      <c r="C61" s="22"/>
      <c r="D61" s="22"/>
      <c r="E61" s="24"/>
      <c r="F61" s="26"/>
      <c r="G61" s="26"/>
    </row>
    <row r="62" ht="22.5" customHeight="1">
      <c r="A62" s="12">
        <v>53.0</v>
      </c>
      <c r="B62" s="21"/>
      <c r="C62" s="22"/>
      <c r="D62" s="22"/>
      <c r="E62" s="24"/>
      <c r="F62" s="26"/>
      <c r="G62" s="26"/>
    </row>
    <row r="63" ht="22.5" customHeight="1">
      <c r="A63" s="12">
        <v>54.0</v>
      </c>
      <c r="B63" s="21"/>
      <c r="C63" s="22"/>
      <c r="D63" s="22"/>
      <c r="E63" s="24"/>
      <c r="F63" s="26"/>
      <c r="G63" s="26"/>
    </row>
    <row r="64" ht="22.5" customHeight="1">
      <c r="A64" s="12">
        <v>55.0</v>
      </c>
      <c r="B64" s="21"/>
      <c r="C64" s="22"/>
      <c r="D64" s="22"/>
      <c r="E64" s="24"/>
      <c r="F64" s="26"/>
      <c r="G64" s="26"/>
    </row>
  </sheetData>
  <customSheetViews>
    <customSheetView guid="{C3FC6D2D-74D2-499A-9C1E-2CBFA8E0DF4A}" filter="1" showAutoFilter="1">
      <autoFilter ref="$A$9:$G$64"/>
    </customSheetView>
    <customSheetView guid="{EA1CDFAB-E699-449D-9D9B-B1B1293097FD}" filter="1" showAutoFilter="1">
      <autoFilter ref="$A$9:$G$64"/>
    </customSheetView>
  </customSheetViews>
  <mergeCells count="1">
    <mergeCell ref="B1:E1"/>
  </mergeCells>
  <dataValidations>
    <dataValidation type="list" allowBlank="1" sqref="B10:B64">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10:D64">
      <formula1>"0,1,2,3,4"</formula1>
    </dataValidation>
    <dataValidation type="list" allowBlank="1" sqref="C10:C64">
      <formula1>"1. Simple Task,2. Moderate Task,3. Complex Task,4. All Tasks,5. Extra Violations"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27" t="s">
        <v>106</v>
      </c>
      <c r="B1" s="28" t="s">
        <v>107</v>
      </c>
      <c r="D1" s="27" t="s">
        <v>108</v>
      </c>
      <c r="E1" s="29"/>
      <c r="F1" s="29"/>
      <c r="G1" s="30"/>
    </row>
    <row r="2">
      <c r="A2" s="31" t="s">
        <v>39</v>
      </c>
      <c r="B2" s="32">
        <f>COUNTIF('Individual Heuristic Evaluation'!B:B, "H1: Visibility of System Status")
</f>
        <v>2</v>
      </c>
      <c r="D2" s="33" t="s">
        <v>109</v>
      </c>
      <c r="G2" s="34"/>
    </row>
    <row r="3">
      <c r="A3" s="35" t="s">
        <v>51</v>
      </c>
      <c r="B3" s="36">
        <f>COUNTIF('Individual Heuristic Evaluation'!B:B, "H2: Match b/w System &amp; World")
</f>
        <v>3</v>
      </c>
      <c r="D3" s="37"/>
      <c r="G3" s="34"/>
    </row>
    <row r="4">
      <c r="A4" s="35" t="s">
        <v>16</v>
      </c>
      <c r="B4" s="36">
        <f>COUNTIF('Individual Heuristic Evaluation'!B:B, "H3: User Control &amp; Freedom")
</f>
        <v>2</v>
      </c>
      <c r="D4" s="37"/>
      <c r="G4" s="34"/>
    </row>
    <row r="5">
      <c r="A5" s="35" t="s">
        <v>26</v>
      </c>
      <c r="B5" s="36">
        <f>COUNTIF('Individual Heuristic Evaluation'!B:B, "H4: Consistency &amp; Standards")
</f>
        <v>3</v>
      </c>
      <c r="D5" s="37"/>
      <c r="G5" s="34"/>
    </row>
    <row r="6">
      <c r="A6" s="35" t="s">
        <v>55</v>
      </c>
      <c r="B6" s="36">
        <f>COUNTIF('Individual Heuristic Evaluation'!B:B, "H5: Error Prevention")
</f>
        <v>4</v>
      </c>
      <c r="D6" s="37"/>
      <c r="G6" s="34"/>
    </row>
    <row r="7">
      <c r="A7" s="35" t="s">
        <v>31</v>
      </c>
      <c r="B7" s="36">
        <f>COUNTIF('Individual Heuristic Evaluation'!B:B, "H6: Recognition not Recall")
</f>
        <v>2</v>
      </c>
      <c r="D7" s="37"/>
      <c r="G7" s="34"/>
    </row>
    <row r="8">
      <c r="A8" s="35" t="s">
        <v>35</v>
      </c>
      <c r="B8" s="36">
        <f>COUNTIF('Individual Heuristic Evaluation'!B:B, "H7: Flexibility &amp; Efficiency of Use")
</f>
        <v>2</v>
      </c>
      <c r="D8" s="37"/>
      <c r="G8" s="34"/>
    </row>
    <row r="9">
      <c r="A9" s="35" t="s">
        <v>47</v>
      </c>
      <c r="B9" s="36">
        <f>COUNTIF('Individual Heuristic Evaluation'!B:B, "H8: Aesthetic &amp; Minimalist Design")
</f>
        <v>4</v>
      </c>
      <c r="D9" s="37"/>
      <c r="G9" s="34"/>
    </row>
    <row r="10">
      <c r="A10" s="35" t="s">
        <v>21</v>
      </c>
      <c r="B10" s="36">
        <f>COUNTIF('Individual Heuristic Evaluation'!B:B, "H9: Help Users with Errors")
</f>
        <v>1</v>
      </c>
      <c r="D10" s="37"/>
      <c r="G10" s="34"/>
    </row>
    <row r="11">
      <c r="A11" s="35" t="s">
        <v>59</v>
      </c>
      <c r="B11" s="36">
        <f>COUNTIF('Individual Heuristic Evaluation'!B:B, "H10: Help &amp; Documentation")
</f>
        <v>2</v>
      </c>
      <c r="D11" s="37"/>
      <c r="G11" s="34"/>
    </row>
    <row r="12">
      <c r="A12" s="35"/>
      <c r="B12" s="36"/>
      <c r="D12" s="37"/>
      <c r="G12" s="34"/>
    </row>
    <row r="13">
      <c r="A13" s="35"/>
      <c r="B13" s="36"/>
      <c r="D13" s="37"/>
      <c r="G13" s="34"/>
    </row>
    <row r="14" ht="418.5" customHeight="1">
      <c r="A14" s="38" t="s">
        <v>110</v>
      </c>
      <c r="B14" s="39">
        <f>SUM(B2:B13)</f>
        <v>25</v>
      </c>
      <c r="D14" s="40"/>
      <c r="E14" s="41"/>
      <c r="F14" s="41"/>
      <c r="G14" s="42"/>
    </row>
  </sheetData>
  <mergeCells count="2">
    <mergeCell ref="D1:G1"/>
    <mergeCell ref="D2:G14"/>
  </mergeCells>
  <drawing r:id="rId1"/>
</worksheet>
</file>