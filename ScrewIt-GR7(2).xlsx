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vidual Heuristic Evaluation" sheetId="1" r:id="rId5"/>
    <sheet state="visible" name="Summary" sheetId="2" r:id="rId6"/>
  </sheets>
  <definedNames>
    <definedName hidden="1" localSheetId="0" name="Z_C504BE18_173B_45C7_9926_A4124CC9E1F2_.wvu.FilterData">'Individual Heuristic Evaluation'!$A$9:$G$64</definedName>
    <definedName hidden="1" localSheetId="0" name="Z_A7ECEE3B_D976_46A3_9BA4_DECACC3C5EA1_.wvu.FilterData">'Individual Heuristic Evaluation'!$A$9:$G$64</definedName>
  </definedNames>
  <calcPr/>
  <customWorkbookViews>
    <customWorkbookView activeSheetId="0" maximized="1" windowHeight="0" windowWidth="0" guid="{A7ECEE3B-D976-46A3-9BA4-DECACC3C5EA1}" name="Group by Task "/>
    <customWorkbookView activeSheetId="0" maximized="1" windowHeight="0" windowWidth="0" guid="{C504BE18-173B-45C7-9926-A4124CC9E1F2}" name="Group by Task"/>
  </customWorkbookViews>
</workbook>
</file>

<file path=xl/sharedStrings.xml><?xml version="1.0" encoding="utf-8"?>
<sst xmlns="http://schemas.openxmlformats.org/spreadsheetml/2006/main" count="169" uniqueCount="128">
  <si>
    <t>One sentence description:</t>
  </si>
  <si>
    <t>Screw it is a mobile AI powered home improvement app which allows that helps homeowners identify household maintenance issues, compare DIY versus professional repair options based on cost and risk, and receive step by step guidance to complete repairs confidently.</t>
  </si>
  <si>
    <t xml:space="preserve">Simple Task: </t>
  </si>
  <si>
    <t>The user can upload or take a picture to identify the home maintenance problem.</t>
  </si>
  <si>
    <t>Moderate Task</t>
  </si>
  <si>
    <t>The user can compare DIY and professional repair solutions.</t>
  </si>
  <si>
    <t>Complex Task</t>
  </si>
  <si>
    <t>The user can learn how to fix the home maintenance problem using step-by-step instructions, video, AR, and AI assistance.</t>
  </si>
  <si>
    <t>*attach images here in the description column if helpful</t>
  </si>
  <si>
    <t>Problem #</t>
  </si>
  <si>
    <t>Column 2</t>
  </si>
  <si>
    <t>Column 3</t>
  </si>
  <si>
    <t>Column 4</t>
  </si>
  <si>
    <t>Description</t>
  </si>
  <si>
    <t>Rationale</t>
  </si>
  <si>
    <t>Fix</t>
  </si>
  <si>
    <t>1. No clear loading state when image is uploaded</t>
  </si>
  <si>
    <t>H1: Visibility of System Status</t>
  </si>
  <si>
    <t>1. Simple Task</t>
  </si>
  <si>
    <t>After uploading a photo, theres no clear progress indicator showing AI analysis is occurring.</t>
  </si>
  <si>
    <t>Users may not know whether the system is processing or frozen. H1 requires timely feedback.</t>
  </si>
  <si>
    <t>Add animated loading indicator with message like “Analyzing your issue…” and estimated wait time.</t>
  </si>
  <si>
    <t>2. AI assistant gives no feedback when clicked</t>
  </si>
  <si>
    <t>4. All Tasks</t>
  </si>
  <si>
    <t>The AI assistant button appears interactive but doesnt respond.</t>
  </si>
  <si>
    <t>Users expect conversational feedback; lack of response breaks trust and functionality.</t>
  </si>
  <si>
    <t>Even in prototype form, simulate a basic AI response flow or display placeholder conversation feedback.</t>
  </si>
  <si>
    <t>3. AR mode lacks status feedback</t>
  </si>
  <si>
    <t>3. Complex Task</t>
  </si>
  <si>
    <t>When switching to AR guidance, theres no explanation of what mode the user is in.</t>
  </si>
  <si>
    <t>Users need clear indication of system state changes.</t>
  </si>
  <si>
    <t>Add a persistent “AR Mode Active” banner with exit button.</t>
  </si>
  <si>
    <t>4. Technical words without explanation</t>
  </si>
  <si>
    <t>H2: Match b/w System &amp; World</t>
  </si>
  <si>
    <t>The identified issue (broken aerator) is labeled without explanation of what an aerator is.</t>
  </si>
  <si>
    <t>New homeowners may not understand plumbing terms.</t>
  </si>
  <si>
    <t>Add a short definition or visual explanation.</t>
  </si>
  <si>
    <t>5. Cost comparison lacks real world breakdown</t>
  </si>
  <si>
    <t>2. Moderate Task</t>
  </si>
  <si>
    <t>Professional vs DIY comparison lacks the detailed cost components like labor, materials, time, etc.</t>
  </si>
  <si>
    <t>Real world decisions require realistic financial context.</t>
  </si>
  <si>
    <t>Provide expandable cost breakdown sections.</t>
  </si>
  <si>
    <t>6. No visible “Back” or undo during some of the flow transitions</t>
  </si>
  <si>
    <t>H3: User Control &amp; Freedom</t>
  </si>
  <si>
    <t>Some flows don’t clearly show how to return to previous screens</t>
  </si>
  <si>
    <t>Users need to be able to leave</t>
  </si>
  <si>
    <t>Add persistent back navigation and undo options</t>
  </si>
  <si>
    <t>7. No cancellation during image upload</t>
  </si>
  <si>
    <t>Users cannot cancel or reupload easily during image capture flow</t>
  </si>
  <si>
    <t>Mistakes are common for users so system should support correction</t>
  </si>
  <si>
    <t>Add cancel and retake buttons prominently</t>
  </si>
  <si>
    <t>8. Inconsistent AI button placement</t>
  </si>
  <si>
    <t>H4: Consistency &amp; Standards</t>
  </si>
  <si>
    <t>AI button appears in multiple places but not consistently positioned</t>
  </si>
  <si>
    <t>Violates platform consistency expectations</t>
  </si>
  <si>
    <t>Standardize AI floating button placement</t>
  </si>
  <si>
    <t>9. Mixed labeling: “Find a Professional” vs “Hire a Pro”</t>
  </si>
  <si>
    <t>Wording is different for same function</t>
  </si>
  <si>
    <t>Users may question whether actions differ</t>
  </si>
  <si>
    <t>Choose one label and use consistently</t>
  </si>
  <si>
    <t>10. No confirmation before committing to professional hire</t>
  </si>
  <si>
    <t>H5: Error Prevention</t>
  </si>
  <si>
    <t>Flow implies hiring a professional without confirmation step.</t>
  </si>
  <si>
    <t>Financial commitments require explicit confirmation.</t>
  </si>
  <si>
    <t>Add confirmation page summarizing cost, service, and date before booking.</t>
  </si>
  <si>
    <t>11. No warning about DIY risk level</t>
  </si>
  <si>
    <t>Risk comparison lacks clear safety warnings</t>
  </si>
  <si>
    <t>Home repairs can cause injury or damage</t>
  </si>
  <si>
    <t>“Safety Risk Level” indicator with caution messaging</t>
  </si>
  <si>
    <t>12. Users must remember issue details across screens</t>
  </si>
  <si>
    <t>H6: Recognition not Recall</t>
  </si>
  <si>
    <t>Identified issue is not persistently visible during comparison</t>
  </si>
  <si>
    <t>Users shouldn’t have to rely on memory</t>
  </si>
  <si>
    <t>Keep issue summary card pinned at top</t>
  </si>
  <si>
    <t>13. DIY steps require remembering previous step</t>
  </si>
  <si>
    <t>Steps don’t show completed indicators</t>
  </si>
  <si>
    <t>Users need to know where they are in the process</t>
  </si>
  <si>
    <t>Add checkmarks and progress tracker</t>
  </si>
  <si>
    <t>14. No shortcut for experienced users</t>
  </si>
  <si>
    <t>H7: Flexibility &amp; Efficiency of Use</t>
  </si>
  <si>
    <t>All users have to go through full step by step instructions.</t>
  </si>
  <si>
    <t>Experts may want condensed view.</t>
  </si>
  <si>
    <t>Add “Quick Summary” toggle.</t>
  </si>
  <si>
    <t>15. No filtering for professional search</t>
  </si>
  <si>
    <t>Users cannot filter by rating, cost, or distance</t>
  </si>
  <si>
    <t xml:space="preserve">Efficiency is reduced </t>
  </si>
  <si>
    <t>Add filter and sorting controls</t>
  </si>
  <si>
    <t>16. Comparison screen is information-dense</t>
  </si>
  <si>
    <t>H8: Aesthetic &amp; Minimalist Design</t>
  </si>
  <si>
    <t>Cost, risk, time, and other components compete visually.</t>
  </si>
  <si>
    <t>Cognitive overload reduces clarity</t>
  </si>
  <si>
    <t>Use progressive disclosure (dropdown menu maybe)</t>
  </si>
  <si>
    <t>17. AR and video options compete for attention</t>
  </si>
  <si>
    <t>Both are presented equally without guidance</t>
  </si>
  <si>
    <t>May overwhelm novice users</t>
  </si>
  <si>
    <t>Recommend one mode as “Suggested” based on user pref or skill lvl</t>
  </si>
  <si>
    <t>18. No clear error message if image unclear</t>
  </si>
  <si>
    <t>H9: Help Users with Errors</t>
  </si>
  <si>
    <t>System does not show feedback if image is blurry</t>
  </si>
  <si>
    <t>Users need constructive recovery guidance</t>
  </si>
  <si>
    <t>Add message like “Image unclear — try better lighting."</t>
  </si>
  <si>
    <t>19. AI provides no recovery suggestions</t>
  </si>
  <si>
    <t>AI does not provide guidance if user is confused mid-repair</t>
  </si>
  <si>
    <t>Core learning feature fails</t>
  </si>
  <si>
    <t>Simulate contextual Q&amp;A responses</t>
  </si>
  <si>
    <t>20. No onboarding tutorial</t>
  </si>
  <si>
    <t>H10: Help &amp; Documentation</t>
  </si>
  <si>
    <t>First time users receive no guided introduction</t>
  </si>
  <si>
    <t>App has multiple complex features like AI, AR, video.</t>
  </si>
  <si>
    <t>Add onboarding walkthrough</t>
  </si>
  <si>
    <t>21. No searchable help section</t>
  </si>
  <si>
    <t>No help/documentation center</t>
  </si>
  <si>
    <t>Complex learning tool requires reference material</t>
  </si>
  <si>
    <t>Add searchable FAQ/help hub</t>
  </si>
  <si>
    <t>22. No accessibility/user settings options (scaling, contrast, etc.)</t>
  </si>
  <si>
    <t>Users don't have the option to choose theire viewing options</t>
  </si>
  <si>
    <t>This lack of accessibility options might lead to difficulty in using the app.</t>
  </si>
  <si>
    <t>Add scalable text + contrast compliance</t>
  </si>
  <si>
    <t>23. No saved history of past repairs</t>
  </si>
  <si>
    <t>5. Extra Violations</t>
  </si>
  <si>
    <t>Users may want to revisit their previous repairs.</t>
  </si>
  <si>
    <t>In order to check what they fixed or how they fixed something users should be able to easily have a. way to see what they did.</t>
  </si>
  <si>
    <t>Add “Past Repairs” dashboard</t>
  </si>
  <si>
    <t>Heuristic</t>
  </si>
  <si>
    <t># Violations</t>
  </si>
  <si>
    <t>Overall Recommendations</t>
  </si>
  <si>
    <t xml:space="preserve">Overall, Screw It demonstrates a strong conceptual foundation and has clear user centered intent in helping homeowners navigate unfamiliar home maintenance decisions and the way they use a variety of technology such as AI, videos, and AR creates a high potential for learning and innovation. However, across tasks, several high severity usability issues emerge. 
	First, this app should focus more on strenghtening system feedback and trust signals. Because users are making potentially costly and safety sensitive decisions, the system must communicate status, confirmations, and risk levels clearly to our users and as such, adding loading indicators, confirmation pages before hiring professionals, visible safety warnings, and persistent issue summaries would significantly increase trust and usability. For novice homeowners, transparency is critical to reduce anxiety around home repair. 
	Moreover, since the app’s goal includes helping users learn home maintenance skills, stronger scaffolding is needed. This includes onboarding tutorials, progress tracking, clearer AR/video guidance labeling, contextual AI assistance, and adaptive pathways for novice vs experienced users. Supporting multiple learning styles like visual, step based or interactive while clearly guiding users toward the most appropriate mode would enhance both perceived helpfulness and long term skill growth. 
	All in all, Screw It is a thoroughly thought out and very practical mobile app, but its prototype might benefit from more fleshed out features.
</t>
  </si>
  <si>
    <t>Total Violations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</si>
</sst>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i/>
      <color theme="1"/>
      <name val="Arial"/>
      <scheme val="minor"/>
    </font>
    <font/>
    <font>
      <color theme="1"/>
      <name val="Google Sans Mono"/>
    </font>
    <font>
      <sz val="9.0"/>
      <color rgb="FF000000"/>
      <name val="Google Sans Mono"/>
    </font>
  </fonts>
  <fills count="5">
    <fill>
      <patternFill patternType="none"/>
    </fill>
    <fill>
      <patternFill patternType="lightGray"/>
    </fill>
    <fill>
      <patternFill patternType="solid">
        <fgColor rgb="FFF3F3F3"/>
        <bgColor rgb="FFF3F3F3"/>
      </patternFill>
    </fill>
    <fill>
      <patternFill patternType="solid">
        <fgColor rgb="FFEFEFEF"/>
        <bgColor rgb="FFEFEFEF"/>
      </patternFill>
    </fill>
    <fill>
      <patternFill patternType="solid">
        <fgColor rgb="FFFFFFFF"/>
        <bgColor rgb="FFFFFFFF"/>
      </patternFill>
    </fill>
  </fills>
  <borders count="9">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shrinkToFit="0" wrapText="1"/>
    </xf>
    <xf borderId="0" fillId="2" fontId="1" numFmtId="0" xfId="0" applyAlignment="1" applyFill="1" applyFont="1">
      <alignment horizontal="left" readingOrder="0" shrinkToFit="0" wrapText="1"/>
    </xf>
    <xf borderId="0" fillId="0" fontId="2" numFmtId="0" xfId="0" applyAlignment="1" applyFont="1">
      <alignment readingOrder="0" shrinkToFit="0" wrapText="1"/>
    </xf>
    <xf borderId="0" fillId="0" fontId="3" numFmtId="0" xfId="0" applyAlignment="1" applyFont="1">
      <alignment horizontal="left" readingOrder="0" shrinkToFit="0" wrapText="1"/>
    </xf>
    <xf borderId="0" fillId="2" fontId="1" numFmtId="0" xfId="0" applyAlignment="1" applyFont="1">
      <alignment horizontal="left" readingOrder="0" shrinkToFit="0" vertical="top" wrapText="1"/>
    </xf>
    <xf borderId="0" fillId="0" fontId="2" numFmtId="0" xfId="0" applyAlignment="1" applyFont="1">
      <alignment shrinkToFit="0" wrapText="1"/>
    </xf>
    <xf borderId="0" fillId="0" fontId="2" numFmtId="0" xfId="0" applyAlignment="1" applyFont="1">
      <alignment horizontal="left" readingOrder="0" shrinkToFit="0" vertical="center" wrapText="1"/>
    </xf>
    <xf borderId="0" fillId="0" fontId="2" numFmtId="49" xfId="0" applyAlignment="1" applyFont="1" applyNumberFormat="1">
      <alignment horizontal="left" shrinkToFit="0" vertical="center" wrapText="1"/>
    </xf>
    <xf borderId="0" fillId="0" fontId="2" numFmtId="49" xfId="0" applyAlignment="1" applyFont="1" applyNumberFormat="1">
      <alignment horizontal="left" shrinkToFit="0" vertical="center" wrapText="1"/>
    </xf>
    <xf borderId="0" fillId="0" fontId="2" numFmtId="0" xfId="0" applyAlignment="1" applyFont="1">
      <alignment horizontal="left" readingOrder="0" shrinkToFit="0" vertical="top"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49" xfId="0" applyAlignment="1" applyFont="1" applyNumberFormat="1">
      <alignment readingOrder="0" shrinkToFit="0" vertical="top" wrapText="1"/>
    </xf>
    <xf borderId="0" fillId="0" fontId="2" numFmtId="0" xfId="0" applyAlignment="1" applyFont="1">
      <alignment readingOrder="0" shrinkToFit="0" vertical="top" wrapText="1"/>
    </xf>
    <xf borderId="0" fillId="0" fontId="2" numFmtId="49" xfId="0" applyAlignment="1" applyFont="1" applyNumberFormat="1">
      <alignment readingOrder="0" shrinkToFit="0" vertical="top" wrapText="1"/>
    </xf>
    <xf borderId="0" fillId="0" fontId="2" numFmtId="0" xfId="0" applyAlignment="1" applyFont="1">
      <alignment readingOrder="0" shrinkToFit="0" vertical="top" wrapText="1"/>
    </xf>
    <xf borderId="0" fillId="0" fontId="2" numFmtId="49" xfId="0" applyAlignment="1" applyFont="1" applyNumberFormat="1">
      <alignment readingOrder="0" shrinkToFit="0" vertical="center" wrapText="1"/>
    </xf>
    <xf borderId="0" fillId="0" fontId="2" numFmtId="0" xfId="0" applyAlignment="1" applyFont="1">
      <alignment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2" numFmtId="49" xfId="0" applyAlignment="1" applyFont="1" applyNumberFormat="1">
      <alignment shrinkToFit="0" vertical="center" wrapText="1"/>
    </xf>
    <xf borderId="0" fillId="0" fontId="2" numFmtId="0" xfId="0" applyAlignment="1" applyFont="1">
      <alignment shrinkToFit="0" vertical="center" wrapText="1"/>
    </xf>
    <xf borderId="0" fillId="0" fontId="2" numFmtId="0" xfId="0" applyAlignment="1" applyFont="1">
      <alignment shrinkToFit="0" vertical="center" wrapText="1"/>
    </xf>
    <xf borderId="1" fillId="3" fontId="1" numFmtId="0" xfId="0" applyAlignment="1" applyBorder="1" applyFill="1" applyFont="1">
      <alignment readingOrder="0"/>
    </xf>
    <xf borderId="2" fillId="3" fontId="1" numFmtId="0" xfId="0" applyAlignment="1" applyBorder="1" applyFont="1">
      <alignment readingOrder="0"/>
    </xf>
    <xf borderId="3" fillId="0" fontId="4" numFmtId="0" xfId="0" applyBorder="1" applyFont="1"/>
    <xf borderId="2" fillId="0" fontId="4" numFmtId="0" xfId="0" applyBorder="1" applyFont="1"/>
    <xf borderId="4" fillId="0" fontId="0" numFmtId="0" xfId="0" applyAlignment="1" applyBorder="1" applyFont="1">
      <alignment readingOrder="0"/>
    </xf>
    <xf borderId="5" fillId="0" fontId="5" numFmtId="0" xfId="0" applyBorder="1" applyFont="1"/>
    <xf borderId="4" fillId="0" fontId="3" numFmtId="0" xfId="0" applyAlignment="1" applyBorder="1" applyFont="1">
      <alignment readingOrder="0" shrinkToFit="0" vertical="top" wrapText="1"/>
    </xf>
    <xf borderId="5" fillId="0" fontId="4" numFmtId="0" xfId="0" applyBorder="1" applyFont="1"/>
    <xf borderId="4" fillId="0" fontId="0" numFmtId="0" xfId="0" applyAlignment="1" applyBorder="1" applyFont="1">
      <alignment horizontal="left" readingOrder="0" shrinkToFit="0" wrapText="1"/>
    </xf>
    <xf borderId="5" fillId="4" fontId="6" numFmtId="0" xfId="0" applyBorder="1" applyFill="1" applyFont="1"/>
    <xf borderId="4" fillId="0" fontId="4" numFmtId="0" xfId="0" applyBorder="1" applyFont="1"/>
    <xf borderId="6" fillId="0" fontId="1" numFmtId="0" xfId="0" applyAlignment="1" applyBorder="1" applyFont="1">
      <alignment readingOrder="0" vertical="top"/>
    </xf>
    <xf borderId="7" fillId="0" fontId="5" numFmtId="0" xfId="0" applyAlignment="1" applyBorder="1" applyFont="1">
      <alignment vertical="top"/>
    </xf>
    <xf borderId="6" fillId="0" fontId="4" numFmtId="0" xfId="0" applyBorder="1" applyFont="1"/>
    <xf borderId="8" fillId="0" fontId="4" numFmtId="0" xfId="0" applyBorder="1" applyFont="1"/>
    <xf borderId="7" fillId="0" fontId="4" numFmtId="0" xfId="0" applyBorder="1"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s>
  <tableStyles count="1">
    <tableStyle count="4" pivot="0" name="Individual Heuristic Evalua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9:G64" displayName="Individual_Heuristic_Evaluations" name="Individual_Heuristic_Evaluations" id="1">
  <tableColumns count="7">
    <tableColumn name="Problem #" id="1"/>
    <tableColumn name="Column 2" id="2"/>
    <tableColumn name="Column 3" id="3"/>
    <tableColumn name="Column 4" id="4"/>
    <tableColumn name="Description" id="5"/>
    <tableColumn name="Rationale" id="6"/>
    <tableColumn name="Fix" id="7"/>
  </tableColumns>
  <tableStyleInfo name="Individual Heuristic Evalu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45.5"/>
    <col customWidth="1" min="2" max="2" width="30.13"/>
    <col customWidth="1" min="3" max="10" width="22.63"/>
    <col customWidth="1" min="11" max="11" width="15.13"/>
  </cols>
  <sheetData>
    <row r="1" ht="45.0" customHeight="1">
      <c r="A1" s="1" t="s">
        <v>0</v>
      </c>
      <c r="B1" s="2" t="s">
        <v>1</v>
      </c>
      <c r="F1" s="3"/>
      <c r="G1" s="3"/>
      <c r="H1" s="4"/>
      <c r="I1" s="4"/>
      <c r="J1" s="4"/>
      <c r="K1" s="4"/>
      <c r="L1" s="4"/>
      <c r="M1" s="4"/>
      <c r="N1" s="4"/>
      <c r="O1" s="4"/>
      <c r="P1" s="4"/>
      <c r="Q1" s="4"/>
      <c r="R1" s="4"/>
      <c r="S1" s="4"/>
      <c r="T1" s="4"/>
      <c r="U1" s="4"/>
      <c r="V1" s="4"/>
      <c r="W1" s="4"/>
      <c r="X1" s="4"/>
      <c r="Y1" s="4"/>
      <c r="Z1" s="4"/>
      <c r="AA1" s="4"/>
      <c r="AB1" s="4"/>
      <c r="AC1" s="4"/>
      <c r="AD1" s="4"/>
      <c r="AE1" s="4"/>
    </row>
    <row r="2">
      <c r="A2" s="4"/>
      <c r="B2" s="3"/>
      <c r="C2" s="3"/>
      <c r="D2" s="3"/>
      <c r="E2" s="3"/>
      <c r="F2" s="3"/>
      <c r="G2" s="3"/>
      <c r="H2" s="4"/>
      <c r="I2" s="4"/>
      <c r="J2" s="4"/>
      <c r="K2" s="4"/>
      <c r="L2" s="4"/>
      <c r="M2" s="4"/>
      <c r="N2" s="4"/>
      <c r="O2" s="4"/>
      <c r="P2" s="4"/>
      <c r="Q2" s="4"/>
      <c r="R2" s="4"/>
      <c r="S2" s="4"/>
      <c r="T2" s="4"/>
      <c r="U2" s="4"/>
      <c r="V2" s="4"/>
      <c r="W2" s="4"/>
      <c r="X2" s="4"/>
      <c r="Y2" s="4"/>
      <c r="Z2" s="4"/>
      <c r="AA2" s="4"/>
      <c r="AB2" s="4"/>
      <c r="AC2" s="4"/>
      <c r="AD2" s="4"/>
      <c r="AE2" s="4"/>
    </row>
    <row r="3">
      <c r="A3" s="5" t="s">
        <v>2</v>
      </c>
      <c r="B3" s="6" t="s">
        <v>3</v>
      </c>
      <c r="C3" s="7"/>
      <c r="D3" s="7"/>
      <c r="E3" s="7"/>
      <c r="F3" s="3"/>
      <c r="G3" s="3"/>
      <c r="H3" s="4"/>
      <c r="I3" s="4"/>
      <c r="J3" s="4"/>
      <c r="K3" s="4"/>
      <c r="L3" s="4"/>
      <c r="M3" s="4"/>
      <c r="N3" s="4"/>
      <c r="O3" s="4"/>
      <c r="P3" s="4"/>
      <c r="Q3" s="4"/>
      <c r="R3" s="4"/>
      <c r="S3" s="4"/>
      <c r="T3" s="4"/>
      <c r="U3" s="4"/>
      <c r="V3" s="4"/>
      <c r="W3" s="4"/>
      <c r="X3" s="4"/>
      <c r="Y3" s="4"/>
      <c r="Z3" s="4"/>
      <c r="AA3" s="4"/>
      <c r="AB3" s="4"/>
      <c r="AC3" s="4"/>
      <c r="AD3" s="4"/>
      <c r="AE3" s="4"/>
    </row>
    <row r="4">
      <c r="A4" s="5" t="s">
        <v>4</v>
      </c>
      <c r="B4" s="6" t="s">
        <v>5</v>
      </c>
      <c r="C4" s="7"/>
      <c r="D4" s="7"/>
      <c r="E4" s="7"/>
      <c r="F4" s="3"/>
      <c r="G4" s="3"/>
      <c r="H4" s="4"/>
      <c r="I4" s="4"/>
      <c r="J4" s="4"/>
      <c r="K4" s="4"/>
      <c r="L4" s="4"/>
      <c r="M4" s="4"/>
      <c r="N4" s="4"/>
      <c r="O4" s="4"/>
      <c r="P4" s="4"/>
      <c r="Q4" s="4"/>
      <c r="R4" s="4"/>
      <c r="S4" s="4"/>
      <c r="T4" s="4"/>
      <c r="U4" s="4"/>
      <c r="V4" s="4"/>
      <c r="W4" s="4"/>
      <c r="X4" s="4"/>
      <c r="Y4" s="4"/>
      <c r="Z4" s="4"/>
      <c r="AA4" s="4"/>
      <c r="AB4" s="4"/>
      <c r="AC4" s="4"/>
      <c r="AD4" s="4"/>
      <c r="AE4" s="4"/>
    </row>
    <row r="5">
      <c r="A5" s="8" t="s">
        <v>6</v>
      </c>
      <c r="B5" s="6" t="s">
        <v>7</v>
      </c>
      <c r="C5" s="7"/>
      <c r="D5" s="7"/>
      <c r="E5" s="7"/>
      <c r="F5" s="3"/>
      <c r="G5" s="3"/>
      <c r="H5" s="4"/>
      <c r="I5" s="4"/>
      <c r="J5" s="4"/>
      <c r="K5" s="4"/>
      <c r="L5" s="4"/>
      <c r="M5" s="4"/>
      <c r="N5" s="4"/>
      <c r="O5" s="4"/>
      <c r="P5" s="4"/>
      <c r="Q5" s="4"/>
      <c r="R5" s="4"/>
      <c r="S5" s="4"/>
      <c r="T5" s="4"/>
      <c r="U5" s="4"/>
      <c r="V5" s="4"/>
      <c r="W5" s="4"/>
      <c r="X5" s="4"/>
      <c r="Y5" s="4"/>
      <c r="Z5" s="4"/>
      <c r="AA5" s="4"/>
      <c r="AB5" s="4"/>
      <c r="AC5" s="4"/>
      <c r="AD5" s="4"/>
      <c r="AE5" s="4"/>
    </row>
    <row r="6">
      <c r="A6" s="3"/>
      <c r="B6" s="3"/>
      <c r="C6" s="3"/>
      <c r="D6" s="3"/>
      <c r="E6" s="3"/>
      <c r="F6" s="3"/>
      <c r="G6" s="3"/>
      <c r="H6" s="4"/>
      <c r="I6" s="4"/>
      <c r="J6" s="4"/>
      <c r="K6" s="4"/>
      <c r="L6" s="4"/>
      <c r="M6" s="4"/>
      <c r="N6" s="4"/>
      <c r="O6" s="4"/>
      <c r="P6" s="4"/>
      <c r="Q6" s="4"/>
      <c r="R6" s="4"/>
      <c r="S6" s="4"/>
      <c r="T6" s="4"/>
      <c r="U6" s="4"/>
      <c r="V6" s="4"/>
      <c r="W6" s="4"/>
      <c r="X6" s="4"/>
      <c r="Y6" s="4"/>
      <c r="Z6" s="4"/>
      <c r="AA6" s="4"/>
      <c r="AB6" s="4"/>
      <c r="AC6" s="4"/>
      <c r="AD6" s="4"/>
      <c r="AE6" s="4"/>
    </row>
    <row r="7">
      <c r="A7" s="3"/>
      <c r="B7" s="3"/>
      <c r="C7" s="9"/>
      <c r="D7" s="3"/>
      <c r="E7" s="3"/>
      <c r="F7" s="3"/>
      <c r="G7" s="3"/>
      <c r="H7" s="4"/>
      <c r="I7" s="4"/>
      <c r="J7" s="4"/>
      <c r="K7" s="4"/>
      <c r="L7" s="4"/>
      <c r="M7" s="4"/>
      <c r="N7" s="4"/>
      <c r="O7" s="4"/>
      <c r="P7" s="4"/>
      <c r="Q7" s="4"/>
      <c r="R7" s="4"/>
      <c r="S7" s="4"/>
      <c r="T7" s="4"/>
      <c r="U7" s="4"/>
      <c r="V7" s="4"/>
      <c r="W7" s="4"/>
      <c r="X7" s="4"/>
      <c r="Y7" s="4"/>
      <c r="Z7" s="4"/>
      <c r="AA7" s="4"/>
      <c r="AB7" s="4"/>
      <c r="AC7" s="4"/>
      <c r="AD7" s="4"/>
      <c r="AE7" s="4"/>
    </row>
    <row r="8">
      <c r="A8" s="3"/>
      <c r="B8" s="3"/>
      <c r="C8" s="9"/>
      <c r="D8" s="9"/>
      <c r="E8" s="7" t="s">
        <v>8</v>
      </c>
      <c r="F8" s="3"/>
      <c r="G8" s="3"/>
      <c r="H8" s="4"/>
      <c r="I8" s="4"/>
      <c r="J8" s="4"/>
      <c r="K8" s="4"/>
      <c r="L8" s="4"/>
      <c r="M8" s="4"/>
      <c r="N8" s="4"/>
      <c r="O8" s="4"/>
      <c r="P8" s="4"/>
      <c r="Q8" s="4"/>
      <c r="R8" s="4"/>
      <c r="S8" s="4"/>
      <c r="T8" s="4"/>
      <c r="U8" s="4"/>
      <c r="V8" s="4"/>
      <c r="W8" s="4"/>
      <c r="X8" s="4"/>
      <c r="Y8" s="4"/>
      <c r="Z8" s="4"/>
      <c r="AA8" s="4"/>
      <c r="AB8" s="4"/>
      <c r="AC8" s="4"/>
      <c r="AD8" s="4"/>
      <c r="AE8" s="4"/>
    </row>
    <row r="9" ht="22.5" customHeight="1">
      <c r="A9" s="10" t="s">
        <v>9</v>
      </c>
      <c r="B9" s="11" t="s">
        <v>10</v>
      </c>
      <c r="C9" s="12" t="s">
        <v>11</v>
      </c>
      <c r="D9" s="12" t="s">
        <v>12</v>
      </c>
      <c r="E9" s="10" t="s">
        <v>13</v>
      </c>
      <c r="F9" s="10" t="s">
        <v>14</v>
      </c>
      <c r="G9" s="10" t="s">
        <v>15</v>
      </c>
      <c r="H9" s="4"/>
      <c r="I9" s="4"/>
      <c r="J9" s="4"/>
      <c r="K9" s="4"/>
      <c r="L9" s="4"/>
      <c r="M9" s="4"/>
      <c r="N9" s="4"/>
      <c r="O9" s="4"/>
      <c r="P9" s="4"/>
      <c r="Q9" s="4"/>
      <c r="R9" s="4"/>
      <c r="S9" s="4"/>
      <c r="T9" s="4"/>
      <c r="U9" s="4"/>
      <c r="V9" s="4"/>
      <c r="W9" s="4"/>
      <c r="X9" s="4"/>
      <c r="Y9" s="4"/>
      <c r="Z9" s="4"/>
      <c r="AA9" s="4"/>
      <c r="AB9" s="4"/>
      <c r="AC9" s="4"/>
      <c r="AD9" s="4"/>
      <c r="AE9" s="4"/>
    </row>
    <row r="10" ht="49.5" customHeight="1">
      <c r="A10" s="13" t="s">
        <v>16</v>
      </c>
      <c r="B10" s="14" t="s">
        <v>17</v>
      </c>
      <c r="C10" s="15" t="s">
        <v>18</v>
      </c>
      <c r="D10" s="15">
        <v>3.0</v>
      </c>
      <c r="E10" s="16" t="s">
        <v>19</v>
      </c>
      <c r="F10" s="17" t="s">
        <v>20</v>
      </c>
      <c r="G10" s="17" t="s">
        <v>21</v>
      </c>
      <c r="H10" s="4"/>
      <c r="I10" s="4"/>
      <c r="J10" s="4"/>
      <c r="K10" s="4"/>
      <c r="L10" s="4"/>
      <c r="M10" s="4"/>
      <c r="N10" s="4"/>
      <c r="O10" s="4"/>
      <c r="P10" s="4"/>
      <c r="Q10" s="4"/>
      <c r="R10" s="4"/>
      <c r="S10" s="4"/>
      <c r="T10" s="4"/>
      <c r="U10" s="4"/>
      <c r="V10" s="4"/>
      <c r="W10" s="4"/>
      <c r="X10" s="4"/>
      <c r="Y10" s="4"/>
      <c r="Z10" s="4"/>
      <c r="AA10" s="4"/>
      <c r="AB10" s="4"/>
      <c r="AC10" s="4"/>
      <c r="AD10" s="4"/>
      <c r="AE10" s="4"/>
    </row>
    <row r="11" ht="51.75" customHeight="1">
      <c r="A11" s="13" t="s">
        <v>22</v>
      </c>
      <c r="B11" s="14" t="s">
        <v>17</v>
      </c>
      <c r="C11" s="15" t="s">
        <v>23</v>
      </c>
      <c r="D11" s="15">
        <v>4.0</v>
      </c>
      <c r="E11" s="16" t="s">
        <v>24</v>
      </c>
      <c r="F11" s="17" t="s">
        <v>25</v>
      </c>
      <c r="G11" s="17" t="s">
        <v>26</v>
      </c>
      <c r="H11" s="4"/>
      <c r="I11" s="4"/>
      <c r="J11" s="4"/>
      <c r="K11" s="4"/>
      <c r="L11" s="4"/>
      <c r="M11" s="4"/>
      <c r="N11" s="4"/>
      <c r="O11" s="4"/>
      <c r="P11" s="4"/>
      <c r="Q11" s="4"/>
      <c r="R11" s="4"/>
      <c r="S11" s="4"/>
      <c r="T11" s="4"/>
      <c r="U11" s="4"/>
      <c r="V11" s="4"/>
      <c r="W11" s="4"/>
      <c r="X11" s="4"/>
      <c r="Y11" s="4"/>
      <c r="Z11" s="4"/>
      <c r="AA11" s="4"/>
      <c r="AB11" s="4"/>
      <c r="AC11" s="4"/>
      <c r="AD11" s="4"/>
      <c r="AE11" s="4"/>
    </row>
    <row r="12" ht="22.5" customHeight="1">
      <c r="A12" s="13" t="s">
        <v>27</v>
      </c>
      <c r="B12" s="14" t="s">
        <v>17</v>
      </c>
      <c r="C12" s="15" t="s">
        <v>28</v>
      </c>
      <c r="D12" s="15">
        <v>3.0</v>
      </c>
      <c r="E12" s="16" t="s">
        <v>29</v>
      </c>
      <c r="F12" s="17" t="s">
        <v>30</v>
      </c>
      <c r="G12" s="17" t="s">
        <v>31</v>
      </c>
      <c r="H12" s="4"/>
      <c r="I12" s="4"/>
      <c r="J12" s="4"/>
      <c r="K12" s="4"/>
      <c r="L12" s="4"/>
      <c r="M12" s="4"/>
      <c r="N12" s="4"/>
      <c r="O12" s="4"/>
      <c r="P12" s="4"/>
      <c r="Q12" s="4"/>
      <c r="R12" s="4"/>
      <c r="S12" s="4"/>
      <c r="T12" s="4"/>
      <c r="U12" s="4"/>
      <c r="V12" s="4"/>
      <c r="W12" s="4"/>
      <c r="X12" s="4"/>
      <c r="Y12" s="4"/>
      <c r="Z12" s="4"/>
      <c r="AA12" s="4"/>
      <c r="AB12" s="4"/>
      <c r="AC12" s="4"/>
      <c r="AD12" s="4"/>
      <c r="AE12" s="4"/>
    </row>
    <row r="13" ht="22.5" customHeight="1">
      <c r="A13" s="13" t="s">
        <v>32</v>
      </c>
      <c r="B13" s="14" t="s">
        <v>33</v>
      </c>
      <c r="C13" s="15" t="s">
        <v>18</v>
      </c>
      <c r="D13" s="15">
        <v>2.0</v>
      </c>
      <c r="E13" s="16" t="s">
        <v>34</v>
      </c>
      <c r="F13" s="17" t="s">
        <v>35</v>
      </c>
      <c r="G13" s="17" t="s">
        <v>36</v>
      </c>
      <c r="H13" s="4"/>
      <c r="I13" s="4"/>
      <c r="J13" s="4"/>
      <c r="K13" s="4"/>
      <c r="L13" s="4"/>
      <c r="M13" s="4"/>
      <c r="N13" s="4"/>
      <c r="O13" s="4"/>
      <c r="P13" s="4"/>
      <c r="Q13" s="4"/>
      <c r="R13" s="4"/>
      <c r="S13" s="4"/>
      <c r="T13" s="4"/>
      <c r="U13" s="4"/>
      <c r="V13" s="4"/>
      <c r="W13" s="4"/>
      <c r="X13" s="4"/>
      <c r="Y13" s="4"/>
      <c r="Z13" s="4"/>
      <c r="AA13" s="4"/>
      <c r="AB13" s="4"/>
      <c r="AC13" s="4"/>
      <c r="AD13" s="4"/>
      <c r="AE13" s="4"/>
    </row>
    <row r="14" ht="22.5" customHeight="1">
      <c r="A14" s="13" t="s">
        <v>37</v>
      </c>
      <c r="B14" s="14" t="s">
        <v>33</v>
      </c>
      <c r="C14" s="15" t="s">
        <v>38</v>
      </c>
      <c r="D14" s="15">
        <v>3.0</v>
      </c>
      <c r="E14" s="16" t="s">
        <v>39</v>
      </c>
      <c r="F14" s="17" t="s">
        <v>40</v>
      </c>
      <c r="G14" s="17" t="s">
        <v>41</v>
      </c>
      <c r="H14" s="4"/>
      <c r="I14" s="4"/>
      <c r="J14" s="4"/>
      <c r="K14" s="4"/>
      <c r="L14" s="4"/>
      <c r="M14" s="4"/>
      <c r="N14" s="4"/>
      <c r="O14" s="4"/>
      <c r="P14" s="4"/>
      <c r="Q14" s="4"/>
      <c r="R14" s="4"/>
      <c r="S14" s="4"/>
      <c r="T14" s="4"/>
      <c r="U14" s="4"/>
      <c r="V14" s="4"/>
      <c r="W14" s="4"/>
      <c r="X14" s="4"/>
      <c r="Y14" s="4"/>
      <c r="Z14" s="4"/>
      <c r="AA14" s="4"/>
      <c r="AB14" s="4"/>
      <c r="AC14" s="4"/>
      <c r="AD14" s="4"/>
      <c r="AE14" s="4"/>
    </row>
    <row r="15" ht="22.5" customHeight="1">
      <c r="A15" s="13" t="s">
        <v>42</v>
      </c>
      <c r="B15" s="14" t="s">
        <v>43</v>
      </c>
      <c r="C15" s="15" t="s">
        <v>38</v>
      </c>
      <c r="D15" s="15">
        <v>2.0</v>
      </c>
      <c r="E15" s="16" t="s">
        <v>44</v>
      </c>
      <c r="F15" s="17" t="s">
        <v>45</v>
      </c>
      <c r="G15" s="17" t="s">
        <v>46</v>
      </c>
      <c r="H15" s="4"/>
      <c r="I15" s="4"/>
      <c r="J15" s="4"/>
      <c r="K15" s="4"/>
      <c r="L15" s="4"/>
      <c r="M15" s="4"/>
      <c r="N15" s="4"/>
      <c r="O15" s="4"/>
      <c r="P15" s="4"/>
      <c r="Q15" s="4"/>
      <c r="R15" s="4"/>
      <c r="S15" s="4"/>
      <c r="T15" s="4"/>
      <c r="U15" s="4"/>
      <c r="V15" s="4"/>
      <c r="W15" s="4"/>
      <c r="X15" s="4"/>
      <c r="Y15" s="4"/>
      <c r="Z15" s="4"/>
      <c r="AA15" s="4"/>
      <c r="AB15" s="4"/>
      <c r="AC15" s="4"/>
      <c r="AD15" s="4"/>
      <c r="AE15" s="4"/>
    </row>
    <row r="16" ht="22.5" customHeight="1">
      <c r="A16" s="13" t="s">
        <v>47</v>
      </c>
      <c r="B16" s="14" t="s">
        <v>43</v>
      </c>
      <c r="C16" s="15" t="s">
        <v>18</v>
      </c>
      <c r="D16" s="15">
        <v>2.0</v>
      </c>
      <c r="E16" s="18" t="s">
        <v>48</v>
      </c>
      <c r="F16" s="17" t="s">
        <v>49</v>
      </c>
      <c r="G16" s="17" t="s">
        <v>50</v>
      </c>
      <c r="H16" s="4"/>
      <c r="I16" s="4"/>
      <c r="J16" s="4"/>
      <c r="K16" s="4"/>
      <c r="L16" s="4"/>
      <c r="M16" s="4"/>
      <c r="N16" s="4"/>
      <c r="O16" s="4"/>
      <c r="P16" s="4"/>
      <c r="Q16" s="4"/>
      <c r="R16" s="4"/>
      <c r="S16" s="4"/>
      <c r="T16" s="4"/>
      <c r="U16" s="4"/>
      <c r="V16" s="4"/>
      <c r="W16" s="4"/>
      <c r="X16" s="4"/>
      <c r="Y16" s="4"/>
      <c r="Z16" s="4"/>
      <c r="AA16" s="4"/>
      <c r="AB16" s="4"/>
      <c r="AC16" s="4"/>
      <c r="AD16" s="4"/>
      <c r="AE16" s="4"/>
    </row>
    <row r="17" ht="22.5" customHeight="1">
      <c r="A17" s="13" t="s">
        <v>51</v>
      </c>
      <c r="B17" s="14" t="s">
        <v>52</v>
      </c>
      <c r="C17" s="15" t="s">
        <v>23</v>
      </c>
      <c r="D17" s="15">
        <v>3.0</v>
      </c>
      <c r="E17" s="18" t="s">
        <v>53</v>
      </c>
      <c r="F17" s="19" t="s">
        <v>54</v>
      </c>
      <c r="G17" s="19" t="s">
        <v>55</v>
      </c>
      <c r="H17" s="4"/>
      <c r="I17" s="4"/>
      <c r="J17" s="4"/>
      <c r="K17" s="4"/>
      <c r="L17" s="4"/>
      <c r="M17" s="4"/>
      <c r="N17" s="4"/>
      <c r="O17" s="4"/>
      <c r="P17" s="4"/>
      <c r="Q17" s="4"/>
      <c r="R17" s="4"/>
      <c r="S17" s="4"/>
      <c r="T17" s="4"/>
      <c r="U17" s="4"/>
      <c r="V17" s="4"/>
      <c r="W17" s="4"/>
      <c r="X17" s="4"/>
      <c r="Y17" s="4"/>
      <c r="Z17" s="4"/>
      <c r="AA17" s="4"/>
      <c r="AB17" s="4"/>
      <c r="AC17" s="4"/>
      <c r="AD17" s="4"/>
      <c r="AE17" s="4"/>
    </row>
    <row r="18" ht="22.5" customHeight="1">
      <c r="A18" s="13" t="s">
        <v>56</v>
      </c>
      <c r="B18" s="14" t="s">
        <v>52</v>
      </c>
      <c r="C18" s="15" t="s">
        <v>38</v>
      </c>
      <c r="D18" s="15">
        <v>1.0</v>
      </c>
      <c r="E18" s="18" t="s">
        <v>57</v>
      </c>
      <c r="F18" s="19" t="s">
        <v>58</v>
      </c>
      <c r="G18" s="19" t="s">
        <v>59</v>
      </c>
      <c r="H18" s="4"/>
      <c r="I18" s="4"/>
      <c r="J18" s="4"/>
      <c r="K18" s="4"/>
      <c r="L18" s="4"/>
      <c r="M18" s="4"/>
      <c r="N18" s="4"/>
      <c r="O18" s="4"/>
      <c r="P18" s="4"/>
      <c r="Q18" s="4"/>
      <c r="R18" s="4"/>
      <c r="S18" s="4"/>
      <c r="T18" s="4"/>
      <c r="U18" s="4"/>
      <c r="V18" s="4"/>
      <c r="W18" s="4"/>
      <c r="X18" s="4"/>
      <c r="Y18" s="4"/>
      <c r="Z18" s="4"/>
      <c r="AA18" s="4"/>
      <c r="AB18" s="4"/>
      <c r="AC18" s="4"/>
      <c r="AD18" s="4"/>
      <c r="AE18" s="4"/>
    </row>
    <row r="19" ht="22.5" customHeight="1">
      <c r="A19" s="13" t="s">
        <v>60</v>
      </c>
      <c r="B19" s="14" t="s">
        <v>61</v>
      </c>
      <c r="C19" s="15" t="s">
        <v>38</v>
      </c>
      <c r="D19" s="15">
        <v>4.0</v>
      </c>
      <c r="E19" s="18" t="s">
        <v>62</v>
      </c>
      <c r="F19" s="19" t="s">
        <v>63</v>
      </c>
      <c r="G19" s="19" t="s">
        <v>64</v>
      </c>
      <c r="H19" s="4"/>
      <c r="I19" s="4"/>
      <c r="J19" s="4"/>
      <c r="K19" s="4"/>
      <c r="L19" s="4"/>
      <c r="M19" s="4"/>
      <c r="N19" s="4"/>
      <c r="O19" s="4"/>
      <c r="P19" s="4"/>
      <c r="Q19" s="4"/>
      <c r="R19" s="4"/>
      <c r="S19" s="4"/>
      <c r="T19" s="4"/>
      <c r="U19" s="4"/>
      <c r="V19" s="4"/>
      <c r="W19" s="4"/>
      <c r="X19" s="4"/>
      <c r="Y19" s="4"/>
      <c r="Z19" s="4"/>
      <c r="AA19" s="4"/>
      <c r="AB19" s="4"/>
      <c r="AC19" s="4"/>
      <c r="AD19" s="4"/>
      <c r="AE19" s="4"/>
    </row>
    <row r="20" ht="22.5" customHeight="1">
      <c r="A20" s="13" t="s">
        <v>65</v>
      </c>
      <c r="B20" s="14" t="s">
        <v>61</v>
      </c>
      <c r="C20" s="15" t="s">
        <v>38</v>
      </c>
      <c r="D20" s="15">
        <v>3.0</v>
      </c>
      <c r="E20" s="18" t="s">
        <v>66</v>
      </c>
      <c r="F20" s="17" t="s">
        <v>67</v>
      </c>
      <c r="G20" s="19" t="s">
        <v>68</v>
      </c>
      <c r="H20" s="4"/>
      <c r="I20" s="4"/>
      <c r="J20" s="4"/>
      <c r="K20" s="4"/>
      <c r="L20" s="4"/>
      <c r="M20" s="4"/>
      <c r="N20" s="4"/>
      <c r="O20" s="4"/>
      <c r="P20" s="4"/>
      <c r="Q20" s="4"/>
      <c r="R20" s="4"/>
      <c r="S20" s="4"/>
      <c r="T20" s="4"/>
      <c r="U20" s="4"/>
      <c r="V20" s="4"/>
      <c r="W20" s="4"/>
      <c r="X20" s="4"/>
      <c r="Y20" s="4"/>
      <c r="Z20" s="4"/>
      <c r="AA20" s="4"/>
      <c r="AB20" s="4"/>
      <c r="AC20" s="4"/>
      <c r="AD20" s="4"/>
      <c r="AE20" s="4"/>
    </row>
    <row r="21" ht="22.5" customHeight="1">
      <c r="A21" s="13" t="s">
        <v>69</v>
      </c>
      <c r="B21" s="14" t="s">
        <v>70</v>
      </c>
      <c r="C21" s="15" t="s">
        <v>38</v>
      </c>
      <c r="D21" s="15">
        <v>3.0</v>
      </c>
      <c r="E21" s="18" t="s">
        <v>71</v>
      </c>
      <c r="F21" s="17" t="s">
        <v>72</v>
      </c>
      <c r="G21" s="19" t="s">
        <v>73</v>
      </c>
      <c r="H21" s="4"/>
      <c r="I21" s="4"/>
      <c r="J21" s="4"/>
      <c r="K21" s="4"/>
      <c r="L21" s="4"/>
      <c r="M21" s="4"/>
      <c r="N21" s="4"/>
      <c r="O21" s="4"/>
      <c r="P21" s="4"/>
      <c r="Q21" s="4"/>
      <c r="R21" s="4"/>
      <c r="S21" s="4"/>
      <c r="T21" s="4"/>
      <c r="U21" s="4"/>
      <c r="V21" s="4"/>
      <c r="W21" s="4"/>
      <c r="X21" s="4"/>
      <c r="Y21" s="4"/>
      <c r="Z21" s="4"/>
      <c r="AA21" s="4"/>
      <c r="AB21" s="4"/>
      <c r="AC21" s="4"/>
      <c r="AD21" s="4"/>
      <c r="AE21" s="4"/>
    </row>
    <row r="22" ht="22.5" customHeight="1">
      <c r="A22" s="13" t="s">
        <v>74</v>
      </c>
      <c r="B22" s="14" t="s">
        <v>70</v>
      </c>
      <c r="C22" s="15" t="s">
        <v>28</v>
      </c>
      <c r="D22" s="15">
        <v>2.0</v>
      </c>
      <c r="E22" s="16" t="s">
        <v>75</v>
      </c>
      <c r="F22" s="17" t="s">
        <v>76</v>
      </c>
      <c r="G22" s="17" t="s">
        <v>77</v>
      </c>
      <c r="H22" s="4"/>
      <c r="I22" s="4"/>
      <c r="J22" s="4"/>
      <c r="K22" s="4"/>
      <c r="L22" s="4"/>
      <c r="M22" s="4"/>
      <c r="N22" s="4"/>
      <c r="O22" s="4"/>
      <c r="P22" s="4"/>
      <c r="Q22" s="4"/>
      <c r="R22" s="4"/>
      <c r="S22" s="4"/>
      <c r="T22" s="4"/>
      <c r="U22" s="4"/>
      <c r="V22" s="4"/>
      <c r="W22" s="4"/>
      <c r="X22" s="4"/>
      <c r="Y22" s="4"/>
      <c r="Z22" s="4"/>
      <c r="AA22" s="4"/>
      <c r="AB22" s="4"/>
      <c r="AC22" s="4"/>
      <c r="AD22" s="4"/>
      <c r="AE22" s="4"/>
    </row>
    <row r="23" ht="22.5" customHeight="1">
      <c r="A23" s="13" t="s">
        <v>78</v>
      </c>
      <c r="B23" s="14" t="s">
        <v>79</v>
      </c>
      <c r="C23" s="15" t="s">
        <v>28</v>
      </c>
      <c r="D23" s="15">
        <v>1.0</v>
      </c>
      <c r="E23" s="16" t="s">
        <v>80</v>
      </c>
      <c r="F23" s="17" t="s">
        <v>81</v>
      </c>
      <c r="G23" s="17" t="s">
        <v>82</v>
      </c>
      <c r="H23" s="4"/>
      <c r="I23" s="4"/>
      <c r="J23" s="4"/>
      <c r="K23" s="4"/>
      <c r="L23" s="4"/>
      <c r="M23" s="4"/>
      <c r="N23" s="4"/>
      <c r="O23" s="4"/>
      <c r="P23" s="4"/>
      <c r="Q23" s="4"/>
      <c r="R23" s="4"/>
      <c r="S23" s="4"/>
      <c r="T23" s="4"/>
      <c r="U23" s="4"/>
      <c r="V23" s="4"/>
      <c r="W23" s="4"/>
      <c r="X23" s="4"/>
      <c r="Y23" s="4"/>
      <c r="Z23" s="4"/>
      <c r="AA23" s="4"/>
      <c r="AB23" s="4"/>
      <c r="AC23" s="4"/>
      <c r="AD23" s="4"/>
      <c r="AE23" s="4"/>
    </row>
    <row r="24" ht="22.5" customHeight="1">
      <c r="A24" s="13" t="s">
        <v>83</v>
      </c>
      <c r="B24" s="14" t="s">
        <v>79</v>
      </c>
      <c r="C24" s="15" t="s">
        <v>38</v>
      </c>
      <c r="D24" s="15">
        <v>3.0</v>
      </c>
      <c r="E24" s="20" t="s">
        <v>84</v>
      </c>
      <c r="F24" s="17" t="s">
        <v>85</v>
      </c>
      <c r="G24" s="17" t="s">
        <v>86</v>
      </c>
      <c r="H24" s="4"/>
      <c r="I24" s="4"/>
      <c r="J24" s="4"/>
      <c r="K24" s="4"/>
      <c r="L24" s="4"/>
      <c r="M24" s="4"/>
      <c r="N24" s="4"/>
      <c r="O24" s="4"/>
      <c r="P24" s="4"/>
      <c r="Q24" s="4"/>
      <c r="R24" s="4"/>
      <c r="S24" s="4"/>
      <c r="T24" s="4"/>
      <c r="U24" s="4"/>
      <c r="V24" s="4"/>
      <c r="W24" s="4"/>
      <c r="X24" s="4"/>
      <c r="Y24" s="4"/>
      <c r="Z24" s="4"/>
      <c r="AA24" s="4"/>
      <c r="AB24" s="4"/>
      <c r="AC24" s="4"/>
      <c r="AD24" s="4"/>
      <c r="AE24" s="4"/>
    </row>
    <row r="25" ht="36.0" customHeight="1">
      <c r="A25" s="13" t="s">
        <v>87</v>
      </c>
      <c r="B25" s="14" t="s">
        <v>88</v>
      </c>
      <c r="C25" s="15" t="s">
        <v>38</v>
      </c>
      <c r="D25" s="15">
        <v>2.0</v>
      </c>
      <c r="E25" s="16" t="s">
        <v>89</v>
      </c>
      <c r="F25" s="17" t="s">
        <v>90</v>
      </c>
      <c r="G25" s="17" t="s">
        <v>91</v>
      </c>
      <c r="H25" s="4"/>
      <c r="I25" s="4"/>
      <c r="J25" s="4"/>
      <c r="K25" s="4"/>
      <c r="L25" s="4"/>
      <c r="M25" s="4"/>
      <c r="N25" s="4"/>
      <c r="O25" s="4"/>
      <c r="P25" s="4"/>
      <c r="Q25" s="4"/>
      <c r="R25" s="4"/>
      <c r="S25" s="4"/>
      <c r="T25" s="4"/>
      <c r="U25" s="4"/>
      <c r="V25" s="4"/>
      <c r="W25" s="4"/>
      <c r="X25" s="4"/>
      <c r="Y25" s="4"/>
      <c r="Z25" s="4"/>
      <c r="AA25" s="4"/>
      <c r="AB25" s="4"/>
      <c r="AC25" s="4"/>
      <c r="AD25" s="4"/>
      <c r="AE25" s="4"/>
    </row>
    <row r="26" ht="22.5" customHeight="1">
      <c r="A26" s="13" t="s">
        <v>92</v>
      </c>
      <c r="B26" s="14" t="s">
        <v>88</v>
      </c>
      <c r="C26" s="15" t="s">
        <v>28</v>
      </c>
      <c r="D26" s="15">
        <v>1.0</v>
      </c>
      <c r="E26" s="20" t="s">
        <v>93</v>
      </c>
      <c r="F26" s="17" t="s">
        <v>94</v>
      </c>
      <c r="G26" s="17" t="s">
        <v>95</v>
      </c>
      <c r="H26" s="4"/>
      <c r="I26" s="4"/>
      <c r="J26" s="4"/>
      <c r="K26" s="4"/>
      <c r="L26" s="4"/>
      <c r="M26" s="4"/>
      <c r="N26" s="4"/>
      <c r="O26" s="4"/>
      <c r="P26" s="4"/>
      <c r="Q26" s="4"/>
      <c r="R26" s="4"/>
      <c r="S26" s="4"/>
      <c r="T26" s="4"/>
      <c r="U26" s="4"/>
      <c r="V26" s="4"/>
      <c r="W26" s="4"/>
      <c r="X26" s="4"/>
      <c r="Y26" s="4"/>
      <c r="Z26" s="4"/>
      <c r="AA26" s="4"/>
      <c r="AB26" s="4"/>
      <c r="AC26" s="4"/>
      <c r="AD26" s="4"/>
      <c r="AE26" s="4"/>
    </row>
    <row r="27" ht="22.5" customHeight="1">
      <c r="A27" s="13" t="s">
        <v>96</v>
      </c>
      <c r="B27" s="14" t="s">
        <v>97</v>
      </c>
      <c r="C27" s="15" t="s">
        <v>18</v>
      </c>
      <c r="D27" s="15">
        <v>3.0</v>
      </c>
      <c r="E27" s="16" t="s">
        <v>98</v>
      </c>
      <c r="F27" s="17" t="s">
        <v>99</v>
      </c>
      <c r="G27" s="17" t="s">
        <v>100</v>
      </c>
      <c r="H27" s="4"/>
      <c r="I27" s="4"/>
      <c r="J27" s="4"/>
      <c r="K27" s="4"/>
      <c r="L27" s="4"/>
      <c r="M27" s="4"/>
      <c r="N27" s="4"/>
      <c r="O27" s="4"/>
      <c r="P27" s="4"/>
      <c r="Q27" s="4"/>
      <c r="R27" s="4"/>
      <c r="S27" s="4"/>
      <c r="T27" s="4"/>
      <c r="U27" s="4"/>
      <c r="V27" s="4"/>
      <c r="W27" s="4"/>
      <c r="X27" s="4"/>
      <c r="Y27" s="4"/>
      <c r="Z27" s="4"/>
      <c r="AA27" s="4"/>
      <c r="AB27" s="4"/>
      <c r="AC27" s="4"/>
      <c r="AD27" s="4"/>
      <c r="AE27" s="4"/>
    </row>
    <row r="28" ht="22.5" customHeight="1">
      <c r="A28" s="13" t="s">
        <v>101</v>
      </c>
      <c r="B28" s="14" t="s">
        <v>97</v>
      </c>
      <c r="C28" s="15" t="s">
        <v>28</v>
      </c>
      <c r="D28" s="15">
        <v>4.0</v>
      </c>
      <c r="E28" s="16" t="s">
        <v>102</v>
      </c>
      <c r="F28" s="17" t="s">
        <v>103</v>
      </c>
      <c r="G28" s="17" t="s">
        <v>104</v>
      </c>
      <c r="H28" s="4"/>
      <c r="I28" s="4"/>
      <c r="J28" s="4"/>
      <c r="K28" s="4"/>
      <c r="L28" s="4"/>
      <c r="M28" s="4"/>
      <c r="N28" s="4"/>
      <c r="O28" s="4"/>
      <c r="P28" s="4"/>
      <c r="Q28" s="4"/>
      <c r="R28" s="4"/>
      <c r="S28" s="4"/>
      <c r="T28" s="4"/>
      <c r="U28" s="4"/>
      <c r="V28" s="4"/>
      <c r="W28" s="4"/>
      <c r="X28" s="4"/>
      <c r="Y28" s="4"/>
      <c r="Z28" s="4"/>
      <c r="AA28" s="4"/>
      <c r="AB28" s="4"/>
      <c r="AC28" s="4"/>
      <c r="AD28" s="4"/>
      <c r="AE28" s="4"/>
    </row>
    <row r="29" ht="22.5" customHeight="1">
      <c r="A29" s="13" t="s">
        <v>105</v>
      </c>
      <c r="B29" s="14" t="s">
        <v>106</v>
      </c>
      <c r="C29" s="15" t="s">
        <v>23</v>
      </c>
      <c r="D29" s="15">
        <v>3.0</v>
      </c>
      <c r="E29" s="16" t="s">
        <v>107</v>
      </c>
      <c r="F29" s="19" t="s">
        <v>108</v>
      </c>
      <c r="G29" s="19" t="s">
        <v>109</v>
      </c>
      <c r="H29" s="4"/>
      <c r="I29" s="4"/>
      <c r="J29" s="4"/>
      <c r="K29" s="4"/>
      <c r="L29" s="4"/>
      <c r="M29" s="4"/>
      <c r="N29" s="4"/>
      <c r="O29" s="4"/>
      <c r="P29" s="4"/>
      <c r="Q29" s="4"/>
      <c r="R29" s="4"/>
      <c r="S29" s="4"/>
      <c r="T29" s="4"/>
      <c r="U29" s="4"/>
      <c r="V29" s="4"/>
      <c r="W29" s="4"/>
      <c r="X29" s="4"/>
      <c r="Y29" s="4"/>
      <c r="Z29" s="4"/>
      <c r="AA29" s="4"/>
      <c r="AB29" s="4"/>
      <c r="AC29" s="4"/>
      <c r="AD29" s="4"/>
      <c r="AE29" s="4"/>
    </row>
    <row r="30" ht="22.5" customHeight="1">
      <c r="A30" s="13" t="s">
        <v>110</v>
      </c>
      <c r="B30" s="14" t="s">
        <v>106</v>
      </c>
      <c r="C30" s="15" t="s">
        <v>23</v>
      </c>
      <c r="D30" s="15">
        <v>2.0</v>
      </c>
      <c r="E30" s="16" t="s">
        <v>111</v>
      </c>
      <c r="F30" s="17" t="s">
        <v>112</v>
      </c>
      <c r="G30" s="17" t="s">
        <v>113</v>
      </c>
      <c r="H30" s="4"/>
      <c r="I30" s="4"/>
      <c r="J30" s="4"/>
      <c r="K30" s="4"/>
      <c r="L30" s="4"/>
      <c r="M30" s="4"/>
      <c r="N30" s="4"/>
      <c r="O30" s="4"/>
      <c r="P30" s="4"/>
      <c r="Q30" s="4"/>
      <c r="R30" s="4"/>
      <c r="S30" s="4"/>
      <c r="T30" s="4"/>
      <c r="U30" s="4"/>
      <c r="V30" s="4"/>
      <c r="W30" s="4"/>
      <c r="X30" s="4"/>
      <c r="Y30" s="4"/>
      <c r="Z30" s="4"/>
      <c r="AA30" s="4"/>
      <c r="AB30" s="4"/>
      <c r="AC30" s="4"/>
      <c r="AD30" s="4"/>
      <c r="AE30" s="4"/>
    </row>
    <row r="31" ht="22.5" customHeight="1">
      <c r="A31" s="13" t="s">
        <v>114</v>
      </c>
      <c r="B31" s="14" t="s">
        <v>43</v>
      </c>
      <c r="C31" s="15" t="s">
        <v>23</v>
      </c>
      <c r="D31" s="15">
        <v>1.0</v>
      </c>
      <c r="E31" s="16" t="s">
        <v>115</v>
      </c>
      <c r="F31" s="17" t="s">
        <v>116</v>
      </c>
      <c r="G31" s="17" t="s">
        <v>117</v>
      </c>
      <c r="H31" s="4"/>
      <c r="I31" s="4"/>
      <c r="J31" s="4"/>
      <c r="K31" s="4"/>
      <c r="L31" s="4"/>
      <c r="M31" s="4"/>
      <c r="N31" s="4"/>
      <c r="O31" s="4"/>
      <c r="P31" s="4"/>
      <c r="Q31" s="4"/>
      <c r="R31" s="4"/>
      <c r="S31" s="4"/>
      <c r="T31" s="4"/>
      <c r="U31" s="4"/>
      <c r="V31" s="4"/>
      <c r="W31" s="4"/>
      <c r="X31" s="4"/>
      <c r="Y31" s="4"/>
      <c r="Z31" s="4"/>
      <c r="AA31" s="4"/>
      <c r="AB31" s="4"/>
      <c r="AC31" s="4"/>
      <c r="AD31" s="4"/>
      <c r="AE31" s="4"/>
    </row>
    <row r="32" ht="22.5" customHeight="1">
      <c r="A32" s="13" t="s">
        <v>118</v>
      </c>
      <c r="B32" s="14" t="s">
        <v>70</v>
      </c>
      <c r="C32" s="15" t="s">
        <v>119</v>
      </c>
      <c r="D32" s="15">
        <v>2.0</v>
      </c>
      <c r="E32" s="16" t="s">
        <v>120</v>
      </c>
      <c r="F32" s="17" t="s">
        <v>121</v>
      </c>
      <c r="G32" s="17" t="s">
        <v>122</v>
      </c>
      <c r="H32" s="4"/>
      <c r="I32" s="4"/>
      <c r="J32" s="4"/>
      <c r="K32" s="4"/>
      <c r="L32" s="4"/>
      <c r="M32" s="4"/>
      <c r="N32" s="4"/>
      <c r="O32" s="4"/>
      <c r="P32" s="4"/>
      <c r="Q32" s="4"/>
      <c r="R32" s="4"/>
      <c r="S32" s="4"/>
      <c r="T32" s="4"/>
      <c r="U32" s="4"/>
      <c r="V32" s="4"/>
      <c r="W32" s="4"/>
      <c r="X32" s="4"/>
      <c r="Y32" s="4"/>
      <c r="Z32" s="4"/>
      <c r="AA32" s="4"/>
      <c r="AB32" s="4"/>
      <c r="AC32" s="4"/>
      <c r="AD32" s="4"/>
      <c r="AE32" s="4"/>
    </row>
    <row r="33" ht="22.5" customHeight="1">
      <c r="A33" s="13">
        <v>24.0</v>
      </c>
      <c r="B33" s="21"/>
      <c r="C33" s="22"/>
      <c r="D33" s="22"/>
      <c r="E33" s="16"/>
      <c r="F33" s="17"/>
      <c r="G33" s="17"/>
      <c r="H33" s="4"/>
      <c r="I33" s="4"/>
      <c r="J33" s="4"/>
      <c r="K33" s="4"/>
      <c r="L33" s="4"/>
      <c r="M33" s="4"/>
      <c r="N33" s="4"/>
      <c r="O33" s="4"/>
      <c r="P33" s="4"/>
      <c r="Q33" s="4"/>
      <c r="R33" s="4"/>
      <c r="S33" s="4"/>
      <c r="T33" s="4"/>
      <c r="U33" s="4"/>
      <c r="V33" s="4"/>
      <c r="W33" s="4"/>
      <c r="X33" s="4"/>
      <c r="Y33" s="4"/>
      <c r="Z33" s="4"/>
      <c r="AA33" s="4"/>
      <c r="AB33" s="4"/>
      <c r="AC33" s="4"/>
      <c r="AD33" s="4"/>
      <c r="AE33" s="4"/>
    </row>
    <row r="34" ht="21.0" customHeight="1">
      <c r="A34" s="13">
        <v>25.0</v>
      </c>
      <c r="B34" s="21"/>
      <c r="C34" s="22"/>
      <c r="D34" s="22"/>
      <c r="E34" s="16"/>
      <c r="F34" s="17"/>
      <c r="G34" s="17"/>
      <c r="H34" s="4"/>
      <c r="I34" s="4"/>
      <c r="J34" s="4"/>
      <c r="K34" s="4"/>
      <c r="L34" s="4"/>
      <c r="M34" s="4"/>
      <c r="N34" s="4"/>
      <c r="O34" s="4"/>
      <c r="P34" s="4"/>
      <c r="Q34" s="4"/>
      <c r="R34" s="4"/>
      <c r="S34" s="4"/>
      <c r="T34" s="4"/>
      <c r="U34" s="4"/>
      <c r="V34" s="4"/>
      <c r="W34" s="4"/>
      <c r="X34" s="4"/>
      <c r="Y34" s="4"/>
      <c r="Z34" s="4"/>
      <c r="AA34" s="4"/>
      <c r="AB34" s="4"/>
      <c r="AC34" s="4"/>
      <c r="AD34" s="4"/>
      <c r="AE34" s="4"/>
    </row>
    <row r="35" ht="27.0" customHeight="1">
      <c r="A35" s="13">
        <v>26.0</v>
      </c>
      <c r="B35" s="21"/>
      <c r="C35" s="22"/>
      <c r="D35" s="22"/>
      <c r="E35" s="16"/>
      <c r="F35" s="17"/>
      <c r="G35" s="17"/>
      <c r="H35" s="4"/>
      <c r="I35" s="4"/>
      <c r="J35" s="4"/>
      <c r="K35" s="4"/>
      <c r="L35" s="4"/>
      <c r="M35" s="4"/>
      <c r="N35" s="4"/>
      <c r="O35" s="4"/>
      <c r="P35" s="4"/>
      <c r="Q35" s="4"/>
      <c r="R35" s="4"/>
      <c r="S35" s="4"/>
      <c r="T35" s="4"/>
      <c r="U35" s="4"/>
      <c r="V35" s="4"/>
      <c r="W35" s="4"/>
      <c r="X35" s="4"/>
      <c r="Y35" s="4"/>
      <c r="Z35" s="4"/>
      <c r="AA35" s="4"/>
      <c r="AB35" s="4"/>
      <c r="AC35" s="4"/>
      <c r="AD35" s="4"/>
      <c r="AE35" s="4"/>
    </row>
    <row r="36" ht="22.5" customHeight="1">
      <c r="A36" s="13">
        <v>27.0</v>
      </c>
      <c r="B36" s="21"/>
      <c r="C36" s="22"/>
      <c r="D36" s="22"/>
      <c r="E36" s="16"/>
      <c r="F36" s="17"/>
      <c r="G36" s="17"/>
      <c r="H36" s="4"/>
      <c r="I36" s="4"/>
      <c r="J36" s="4"/>
      <c r="K36" s="4"/>
      <c r="L36" s="4"/>
      <c r="M36" s="4"/>
      <c r="N36" s="4"/>
      <c r="O36" s="4"/>
      <c r="P36" s="4"/>
      <c r="Q36" s="4"/>
      <c r="R36" s="4"/>
      <c r="S36" s="4"/>
      <c r="T36" s="4"/>
      <c r="U36" s="4"/>
      <c r="V36" s="4"/>
      <c r="W36" s="4"/>
      <c r="X36" s="4"/>
      <c r="Y36" s="4"/>
      <c r="Z36" s="4"/>
      <c r="AA36" s="4"/>
      <c r="AB36" s="4"/>
      <c r="AC36" s="4"/>
      <c r="AD36" s="4"/>
      <c r="AE36" s="4"/>
    </row>
    <row r="37" ht="22.5" customHeight="1">
      <c r="A37" s="13">
        <v>28.0</v>
      </c>
      <c r="B37" s="21"/>
      <c r="C37" s="22"/>
      <c r="D37" s="22"/>
      <c r="E37" s="16"/>
      <c r="F37" s="17"/>
      <c r="G37" s="17"/>
      <c r="H37" s="4"/>
      <c r="I37" s="4"/>
      <c r="J37" s="4"/>
      <c r="K37" s="4"/>
      <c r="L37" s="4"/>
      <c r="M37" s="4"/>
      <c r="N37" s="4"/>
      <c r="O37" s="4"/>
      <c r="P37" s="4"/>
      <c r="Q37" s="4"/>
      <c r="R37" s="4"/>
      <c r="S37" s="4"/>
      <c r="T37" s="4"/>
      <c r="U37" s="4"/>
      <c r="V37" s="4"/>
      <c r="W37" s="4"/>
      <c r="X37" s="4"/>
      <c r="Y37" s="4"/>
      <c r="Z37" s="4"/>
      <c r="AA37" s="4"/>
      <c r="AB37" s="4"/>
      <c r="AC37" s="4"/>
      <c r="AD37" s="4"/>
      <c r="AE37" s="4"/>
    </row>
    <row r="38" ht="22.5" customHeight="1">
      <c r="A38" s="13">
        <v>29.0</v>
      </c>
      <c r="B38" s="21"/>
      <c r="C38" s="22"/>
      <c r="D38" s="22"/>
      <c r="E38" s="18"/>
      <c r="F38" s="17"/>
      <c r="G38" s="17"/>
      <c r="H38" s="4"/>
      <c r="I38" s="4"/>
      <c r="J38" s="4"/>
      <c r="K38" s="4"/>
      <c r="L38" s="4"/>
      <c r="M38" s="4"/>
      <c r="N38" s="4"/>
      <c r="O38" s="4"/>
      <c r="P38" s="4"/>
      <c r="Q38" s="4"/>
      <c r="R38" s="4"/>
      <c r="S38" s="4"/>
      <c r="T38" s="4"/>
      <c r="U38" s="4"/>
      <c r="V38" s="4"/>
      <c r="W38" s="4"/>
      <c r="X38" s="4"/>
      <c r="Y38" s="4"/>
      <c r="Z38" s="4"/>
      <c r="AA38" s="4"/>
      <c r="AB38" s="4"/>
      <c r="AC38" s="4"/>
      <c r="AD38" s="4"/>
      <c r="AE38" s="4"/>
    </row>
    <row r="39" ht="22.5" customHeight="1">
      <c r="A39" s="13">
        <v>30.0</v>
      </c>
      <c r="B39" s="21"/>
      <c r="C39" s="22"/>
      <c r="D39" s="22"/>
      <c r="E39" s="16"/>
      <c r="F39" s="17"/>
      <c r="G39" s="23"/>
      <c r="H39" s="4"/>
      <c r="I39" s="4"/>
      <c r="J39" s="4"/>
      <c r="K39" s="4"/>
      <c r="L39" s="4"/>
      <c r="M39" s="4"/>
      <c r="N39" s="4"/>
      <c r="O39" s="4"/>
      <c r="P39" s="4"/>
      <c r="Q39" s="4"/>
      <c r="R39" s="4"/>
      <c r="S39" s="4"/>
      <c r="T39" s="4"/>
      <c r="U39" s="4"/>
      <c r="V39" s="4"/>
      <c r="W39" s="4"/>
      <c r="X39" s="4"/>
      <c r="Y39" s="4"/>
      <c r="Z39" s="4"/>
      <c r="AA39" s="4"/>
      <c r="AB39" s="4"/>
      <c r="AC39" s="4"/>
      <c r="AD39" s="4"/>
      <c r="AE39" s="4"/>
    </row>
    <row r="40" ht="22.5" customHeight="1">
      <c r="A40" s="13">
        <v>31.0</v>
      </c>
      <c r="B40" s="21"/>
      <c r="C40" s="22"/>
      <c r="D40" s="22"/>
      <c r="E40" s="20"/>
      <c r="F40" s="17"/>
      <c r="G40" s="17"/>
      <c r="H40" s="4"/>
      <c r="I40" s="4"/>
      <c r="J40" s="4"/>
      <c r="K40" s="4"/>
      <c r="L40" s="4"/>
      <c r="M40" s="4"/>
      <c r="N40" s="4"/>
      <c r="O40" s="4"/>
      <c r="P40" s="4"/>
      <c r="Q40" s="4"/>
      <c r="R40" s="4"/>
      <c r="S40" s="4"/>
      <c r="T40" s="4"/>
      <c r="U40" s="4"/>
      <c r="V40" s="4"/>
      <c r="W40" s="4"/>
      <c r="X40" s="4"/>
      <c r="Y40" s="4"/>
      <c r="Z40" s="4"/>
      <c r="AA40" s="4"/>
      <c r="AB40" s="4"/>
      <c r="AC40" s="4"/>
      <c r="AD40" s="4"/>
      <c r="AE40" s="4"/>
    </row>
    <row r="41" ht="22.5" customHeight="1">
      <c r="A41" s="13">
        <v>32.0</v>
      </c>
      <c r="B41" s="21"/>
      <c r="C41" s="22"/>
      <c r="D41" s="22"/>
      <c r="E41" s="16"/>
      <c r="F41" s="17"/>
      <c r="G41" s="17"/>
      <c r="H41" s="4"/>
      <c r="I41" s="4"/>
      <c r="J41" s="4"/>
      <c r="K41" s="4"/>
      <c r="L41" s="4"/>
      <c r="M41" s="4"/>
      <c r="N41" s="4"/>
      <c r="O41" s="4"/>
      <c r="P41" s="4"/>
      <c r="Q41" s="4"/>
      <c r="R41" s="4"/>
      <c r="S41" s="4"/>
      <c r="T41" s="4"/>
      <c r="U41" s="4"/>
      <c r="V41" s="4"/>
      <c r="W41" s="4"/>
      <c r="X41" s="4"/>
      <c r="Y41" s="4"/>
      <c r="Z41" s="4"/>
      <c r="AA41" s="4"/>
      <c r="AB41" s="4"/>
      <c r="AC41" s="4"/>
      <c r="AD41" s="4"/>
      <c r="AE41" s="4"/>
    </row>
    <row r="42" ht="22.5" customHeight="1">
      <c r="A42" s="13">
        <v>33.0</v>
      </c>
      <c r="B42" s="21"/>
      <c r="C42" s="22"/>
      <c r="D42" s="22"/>
      <c r="E42" s="18"/>
      <c r="F42" s="17"/>
      <c r="G42" s="17"/>
      <c r="H42" s="4"/>
      <c r="I42" s="4"/>
      <c r="J42" s="4"/>
      <c r="K42" s="4"/>
      <c r="L42" s="4"/>
      <c r="M42" s="4"/>
      <c r="N42" s="4"/>
      <c r="O42" s="4"/>
      <c r="P42" s="4"/>
      <c r="Q42" s="4"/>
      <c r="R42" s="4"/>
      <c r="S42" s="4"/>
      <c r="T42" s="4"/>
      <c r="U42" s="4"/>
      <c r="V42" s="4"/>
      <c r="W42" s="4"/>
      <c r="X42" s="4"/>
      <c r="Y42" s="4"/>
      <c r="Z42" s="4"/>
      <c r="AA42" s="4"/>
      <c r="AB42" s="4"/>
      <c r="AC42" s="4"/>
      <c r="AD42" s="4"/>
      <c r="AE42" s="4"/>
    </row>
    <row r="43" ht="22.5" customHeight="1">
      <c r="A43" s="13">
        <v>34.0</v>
      </c>
      <c r="B43" s="21"/>
      <c r="C43" s="22"/>
      <c r="D43" s="22"/>
      <c r="E43" s="20"/>
      <c r="F43" s="17"/>
      <c r="G43" s="17"/>
      <c r="H43" s="4"/>
      <c r="I43" s="4"/>
      <c r="J43" s="4"/>
      <c r="K43" s="4"/>
      <c r="L43" s="4"/>
      <c r="M43" s="4"/>
      <c r="N43" s="4"/>
      <c r="O43" s="4"/>
      <c r="P43" s="4"/>
      <c r="Q43" s="4"/>
      <c r="R43" s="4"/>
      <c r="S43" s="4"/>
      <c r="T43" s="4"/>
      <c r="U43" s="4"/>
      <c r="V43" s="4"/>
      <c r="W43" s="4"/>
      <c r="X43" s="4"/>
      <c r="Y43" s="4"/>
      <c r="Z43" s="4"/>
      <c r="AA43" s="4"/>
      <c r="AB43" s="4"/>
      <c r="AC43" s="4"/>
      <c r="AD43" s="4"/>
      <c r="AE43" s="4"/>
    </row>
    <row r="44" ht="22.5" customHeight="1">
      <c r="A44" s="13">
        <v>35.0</v>
      </c>
      <c r="B44" s="21"/>
      <c r="C44" s="22"/>
      <c r="D44" s="22"/>
      <c r="E44" s="20"/>
      <c r="F44" s="17"/>
      <c r="G44" s="23"/>
      <c r="H44" s="4"/>
      <c r="I44" s="4"/>
      <c r="J44" s="4"/>
      <c r="K44" s="4"/>
      <c r="L44" s="4"/>
      <c r="M44" s="4"/>
      <c r="N44" s="4"/>
      <c r="O44" s="4"/>
      <c r="P44" s="4"/>
      <c r="Q44" s="4"/>
      <c r="R44" s="4"/>
      <c r="S44" s="4"/>
      <c r="T44" s="4"/>
      <c r="U44" s="4"/>
      <c r="V44" s="4"/>
      <c r="W44" s="4"/>
      <c r="X44" s="4"/>
      <c r="Y44" s="4"/>
      <c r="Z44" s="4"/>
      <c r="AA44" s="4"/>
      <c r="AB44" s="4"/>
      <c r="AC44" s="4"/>
      <c r="AD44" s="4"/>
      <c r="AE44" s="4"/>
    </row>
    <row r="45" ht="22.5" customHeight="1">
      <c r="A45" s="13">
        <v>36.0</v>
      </c>
      <c r="B45" s="21"/>
      <c r="C45" s="22"/>
      <c r="D45" s="22"/>
      <c r="E45" s="16"/>
      <c r="F45" s="17"/>
      <c r="G45" s="17"/>
      <c r="H45" s="4"/>
      <c r="I45" s="4"/>
      <c r="J45" s="4"/>
      <c r="K45" s="4"/>
      <c r="L45" s="4"/>
      <c r="M45" s="4"/>
      <c r="N45" s="4"/>
      <c r="O45" s="4"/>
      <c r="P45" s="4"/>
      <c r="Q45" s="4"/>
      <c r="R45" s="4"/>
      <c r="S45" s="4"/>
      <c r="T45" s="4"/>
      <c r="U45" s="4"/>
      <c r="V45" s="4"/>
      <c r="W45" s="4"/>
      <c r="X45" s="4"/>
      <c r="Y45" s="4"/>
      <c r="Z45" s="4"/>
      <c r="AA45" s="4"/>
      <c r="AB45" s="4"/>
      <c r="AC45" s="4"/>
      <c r="AD45" s="4"/>
      <c r="AE45" s="4"/>
    </row>
    <row r="46" ht="22.5" customHeight="1">
      <c r="A46" s="13">
        <v>37.0</v>
      </c>
      <c r="B46" s="21"/>
      <c r="C46" s="22"/>
      <c r="D46" s="22"/>
      <c r="E46" s="16"/>
      <c r="F46" s="17"/>
      <c r="G46" s="17"/>
      <c r="H46" s="4"/>
      <c r="I46" s="4"/>
      <c r="J46" s="4"/>
      <c r="K46" s="4"/>
      <c r="L46" s="4"/>
      <c r="M46" s="4"/>
      <c r="N46" s="4"/>
      <c r="O46" s="4"/>
      <c r="P46" s="4"/>
      <c r="Q46" s="4"/>
      <c r="R46" s="4"/>
      <c r="S46" s="4"/>
      <c r="T46" s="4"/>
      <c r="U46" s="4"/>
      <c r="V46" s="4"/>
      <c r="W46" s="4"/>
      <c r="X46" s="4"/>
      <c r="Y46" s="4"/>
      <c r="Z46" s="4"/>
      <c r="AA46" s="4"/>
      <c r="AB46" s="4"/>
      <c r="AC46" s="4"/>
      <c r="AD46" s="4"/>
      <c r="AE46" s="4"/>
    </row>
    <row r="47" ht="22.5" customHeight="1">
      <c r="A47" s="13">
        <v>38.0</v>
      </c>
      <c r="B47" s="21"/>
      <c r="C47" s="22"/>
      <c r="D47" s="22"/>
      <c r="E47" s="18"/>
      <c r="F47" s="23"/>
      <c r="G47" s="17"/>
      <c r="H47" s="4"/>
      <c r="I47" s="4"/>
      <c r="J47" s="4"/>
      <c r="K47" s="4"/>
      <c r="L47" s="4"/>
      <c r="M47" s="4"/>
      <c r="N47" s="4"/>
      <c r="O47" s="4"/>
      <c r="P47" s="4"/>
      <c r="Q47" s="4"/>
      <c r="R47" s="4"/>
      <c r="S47" s="4"/>
      <c r="T47" s="4"/>
      <c r="U47" s="4"/>
      <c r="V47" s="4"/>
      <c r="W47" s="4"/>
      <c r="X47" s="4"/>
      <c r="Y47" s="4"/>
      <c r="Z47" s="4"/>
      <c r="AA47" s="4"/>
      <c r="AB47" s="4"/>
      <c r="AC47" s="4"/>
      <c r="AD47" s="4"/>
      <c r="AE47" s="4"/>
    </row>
    <row r="48" ht="22.5" customHeight="1">
      <c r="A48" s="13">
        <v>39.0</v>
      </c>
      <c r="B48" s="21"/>
      <c r="C48" s="22"/>
      <c r="D48" s="22"/>
      <c r="E48" s="16"/>
      <c r="F48" s="17"/>
      <c r="G48" s="23"/>
      <c r="H48" s="4"/>
      <c r="I48" s="4"/>
      <c r="J48" s="4"/>
      <c r="K48" s="4"/>
      <c r="L48" s="4"/>
      <c r="M48" s="4"/>
      <c r="N48" s="4"/>
      <c r="O48" s="4"/>
      <c r="P48" s="4"/>
      <c r="Q48" s="4"/>
      <c r="R48" s="4"/>
      <c r="S48" s="4"/>
      <c r="T48" s="4"/>
      <c r="U48" s="4"/>
      <c r="V48" s="4"/>
      <c r="W48" s="4"/>
      <c r="X48" s="4"/>
      <c r="Y48" s="4"/>
      <c r="Z48" s="4"/>
      <c r="AA48" s="4"/>
      <c r="AB48" s="4"/>
      <c r="AC48" s="4"/>
      <c r="AD48" s="4"/>
      <c r="AE48" s="4"/>
    </row>
    <row r="49" ht="22.5" customHeight="1">
      <c r="A49" s="13">
        <v>40.0</v>
      </c>
      <c r="B49" s="21"/>
      <c r="C49" s="22"/>
      <c r="D49" s="22"/>
      <c r="E49" s="18"/>
      <c r="F49" s="17"/>
      <c r="G49" s="17"/>
      <c r="H49" s="4"/>
      <c r="I49" s="4"/>
      <c r="J49" s="4"/>
      <c r="K49" s="4"/>
      <c r="L49" s="4"/>
      <c r="M49" s="4"/>
      <c r="N49" s="4"/>
      <c r="O49" s="4"/>
      <c r="P49" s="4"/>
      <c r="Q49" s="4"/>
      <c r="R49" s="4"/>
      <c r="S49" s="4"/>
      <c r="T49" s="4"/>
      <c r="U49" s="4"/>
      <c r="V49" s="4"/>
      <c r="W49" s="4"/>
      <c r="X49" s="4"/>
      <c r="Y49" s="4"/>
      <c r="Z49" s="4"/>
      <c r="AA49" s="4"/>
      <c r="AB49" s="4"/>
      <c r="AC49" s="4"/>
      <c r="AD49" s="4"/>
      <c r="AE49" s="4"/>
    </row>
    <row r="50" ht="22.5" customHeight="1">
      <c r="A50" s="13">
        <v>41.0</v>
      </c>
      <c r="B50" s="21"/>
      <c r="C50" s="22"/>
      <c r="D50" s="22"/>
      <c r="E50" s="16"/>
      <c r="F50" s="23"/>
      <c r="G50" s="17"/>
      <c r="H50" s="4"/>
      <c r="I50" s="4"/>
      <c r="J50" s="4"/>
      <c r="K50" s="4"/>
      <c r="L50" s="4"/>
      <c r="M50" s="4"/>
      <c r="N50" s="4"/>
      <c r="O50" s="4"/>
      <c r="P50" s="4"/>
      <c r="Q50" s="4"/>
      <c r="R50" s="4"/>
      <c r="S50" s="4"/>
      <c r="T50" s="4"/>
      <c r="U50" s="4"/>
      <c r="V50" s="4"/>
      <c r="W50" s="4"/>
      <c r="X50" s="4"/>
      <c r="Y50" s="4"/>
      <c r="Z50" s="4"/>
      <c r="AA50" s="4"/>
      <c r="AB50" s="4"/>
      <c r="AC50" s="4"/>
      <c r="AD50" s="4"/>
      <c r="AE50" s="4"/>
    </row>
    <row r="51" ht="22.5" customHeight="1">
      <c r="A51" s="13">
        <v>42.0</v>
      </c>
      <c r="B51" s="21"/>
      <c r="C51" s="22"/>
      <c r="D51" s="22"/>
      <c r="E51" s="24"/>
      <c r="F51" s="25"/>
      <c r="G51" s="26"/>
      <c r="H51" s="4"/>
      <c r="I51" s="4"/>
      <c r="J51" s="4"/>
      <c r="K51" s="4"/>
      <c r="L51" s="4"/>
      <c r="M51" s="4"/>
      <c r="N51" s="4"/>
      <c r="O51" s="4"/>
      <c r="P51" s="4"/>
      <c r="Q51" s="4"/>
      <c r="R51" s="4"/>
      <c r="S51" s="4"/>
      <c r="T51" s="4"/>
      <c r="U51" s="4"/>
      <c r="V51" s="4"/>
      <c r="W51" s="4"/>
      <c r="X51" s="4"/>
      <c r="Y51" s="4"/>
      <c r="Z51" s="4"/>
      <c r="AA51" s="4"/>
      <c r="AB51" s="4"/>
      <c r="AC51" s="4"/>
      <c r="AD51" s="4"/>
      <c r="AE51" s="4"/>
    </row>
    <row r="52" ht="22.5" customHeight="1">
      <c r="A52" s="13">
        <v>43.0</v>
      </c>
      <c r="B52" s="21"/>
      <c r="C52" s="22"/>
      <c r="D52" s="22"/>
      <c r="E52" s="24"/>
      <c r="F52" s="26"/>
      <c r="G52" s="26"/>
      <c r="H52" s="4"/>
      <c r="I52" s="4"/>
      <c r="J52" s="4"/>
      <c r="K52" s="4"/>
      <c r="L52" s="4"/>
      <c r="M52" s="4"/>
      <c r="N52" s="4"/>
      <c r="O52" s="4"/>
      <c r="P52" s="4"/>
      <c r="Q52" s="4"/>
      <c r="R52" s="4"/>
      <c r="S52" s="4"/>
      <c r="T52" s="4"/>
      <c r="U52" s="4"/>
      <c r="V52" s="4"/>
      <c r="W52" s="4"/>
      <c r="X52" s="4"/>
      <c r="Y52" s="4"/>
      <c r="Z52" s="4"/>
      <c r="AA52" s="4"/>
      <c r="AB52" s="4"/>
      <c r="AC52" s="4"/>
      <c r="AD52" s="4"/>
      <c r="AE52" s="4"/>
    </row>
    <row r="53" ht="22.5" customHeight="1">
      <c r="A53" s="13">
        <v>44.0</v>
      </c>
      <c r="B53" s="21"/>
      <c r="C53" s="22"/>
      <c r="D53" s="22"/>
      <c r="E53" s="24"/>
      <c r="F53" s="26"/>
      <c r="G53" s="26"/>
      <c r="H53" s="4"/>
      <c r="I53" s="4"/>
      <c r="J53" s="4"/>
      <c r="K53" s="4"/>
      <c r="L53" s="4"/>
      <c r="M53" s="4"/>
      <c r="N53" s="4"/>
      <c r="O53" s="4"/>
      <c r="P53" s="4"/>
      <c r="Q53" s="4"/>
      <c r="R53" s="4"/>
      <c r="S53" s="4"/>
      <c r="T53" s="4"/>
      <c r="U53" s="4"/>
      <c r="V53" s="4"/>
      <c r="W53" s="4"/>
      <c r="X53" s="4"/>
      <c r="Y53" s="4"/>
      <c r="Z53" s="4"/>
      <c r="AA53" s="4"/>
      <c r="AB53" s="4"/>
      <c r="AC53" s="4"/>
      <c r="AD53" s="4"/>
      <c r="AE53" s="4"/>
    </row>
    <row r="54" ht="22.5" customHeight="1">
      <c r="A54" s="13">
        <v>45.0</v>
      </c>
      <c r="B54" s="21"/>
      <c r="C54" s="22"/>
      <c r="D54" s="22"/>
      <c r="E54" s="24"/>
      <c r="F54" s="26"/>
      <c r="G54" s="26"/>
      <c r="H54" s="4"/>
      <c r="I54" s="4"/>
      <c r="J54" s="4"/>
      <c r="K54" s="4"/>
      <c r="L54" s="4"/>
      <c r="M54" s="4"/>
      <c r="N54" s="4"/>
      <c r="O54" s="4"/>
      <c r="P54" s="4"/>
      <c r="Q54" s="4"/>
      <c r="R54" s="4"/>
      <c r="S54" s="4"/>
      <c r="T54" s="4"/>
      <c r="U54" s="4"/>
      <c r="V54" s="4"/>
      <c r="W54" s="4"/>
      <c r="X54" s="4"/>
      <c r="Y54" s="4"/>
      <c r="Z54" s="4"/>
      <c r="AA54" s="4"/>
      <c r="AB54" s="4"/>
      <c r="AC54" s="4"/>
      <c r="AD54" s="4"/>
      <c r="AE54" s="4"/>
    </row>
    <row r="55" ht="22.5" customHeight="1">
      <c r="A55" s="13">
        <v>46.0</v>
      </c>
      <c r="B55" s="21"/>
      <c r="C55" s="22"/>
      <c r="D55" s="22"/>
      <c r="E55" s="24"/>
      <c r="F55" s="26"/>
      <c r="G55" s="26"/>
      <c r="H55" s="4"/>
      <c r="I55" s="4"/>
      <c r="J55" s="4"/>
      <c r="K55" s="4"/>
      <c r="L55" s="4"/>
      <c r="M55" s="4"/>
      <c r="N55" s="4"/>
      <c r="O55" s="4"/>
      <c r="P55" s="4"/>
      <c r="Q55" s="4"/>
      <c r="R55" s="4"/>
      <c r="S55" s="4"/>
      <c r="T55" s="4"/>
      <c r="U55" s="4"/>
      <c r="V55" s="4"/>
      <c r="W55" s="4"/>
      <c r="X55" s="4"/>
      <c r="Y55" s="4"/>
      <c r="Z55" s="4"/>
      <c r="AA55" s="4"/>
      <c r="AB55" s="4"/>
      <c r="AC55" s="4"/>
      <c r="AD55" s="4"/>
      <c r="AE55" s="4"/>
    </row>
    <row r="56" ht="22.5" customHeight="1">
      <c r="A56" s="13">
        <v>47.0</v>
      </c>
      <c r="B56" s="21"/>
      <c r="C56" s="22"/>
      <c r="D56" s="22"/>
      <c r="E56" s="24"/>
      <c r="F56" s="26"/>
      <c r="G56" s="26"/>
      <c r="H56" s="4"/>
      <c r="I56" s="4"/>
      <c r="J56" s="4"/>
      <c r="K56" s="4"/>
      <c r="L56" s="4"/>
      <c r="M56" s="4"/>
      <c r="N56" s="4"/>
      <c r="O56" s="4"/>
      <c r="P56" s="4"/>
      <c r="Q56" s="4"/>
      <c r="R56" s="4"/>
      <c r="S56" s="4"/>
      <c r="T56" s="4"/>
      <c r="U56" s="4"/>
      <c r="V56" s="4"/>
      <c r="W56" s="4"/>
      <c r="X56" s="4"/>
      <c r="Y56" s="4"/>
      <c r="Z56" s="4"/>
      <c r="AA56" s="4"/>
      <c r="AB56" s="4"/>
      <c r="AC56" s="4"/>
      <c r="AD56" s="4"/>
      <c r="AE56" s="4"/>
    </row>
    <row r="57" ht="22.5" customHeight="1">
      <c r="A57" s="13">
        <v>48.0</v>
      </c>
      <c r="B57" s="21"/>
      <c r="C57" s="22"/>
      <c r="D57" s="22"/>
      <c r="E57" s="24"/>
      <c r="F57" s="26"/>
      <c r="G57" s="26"/>
      <c r="H57" s="4"/>
      <c r="I57" s="4"/>
      <c r="J57" s="4"/>
      <c r="K57" s="4"/>
      <c r="L57" s="4"/>
      <c r="M57" s="4"/>
      <c r="N57" s="4"/>
      <c r="O57" s="4"/>
      <c r="P57" s="4"/>
      <c r="Q57" s="4"/>
      <c r="R57" s="4"/>
      <c r="S57" s="4"/>
      <c r="T57" s="4"/>
      <c r="U57" s="4"/>
      <c r="V57" s="4"/>
      <c r="W57" s="4"/>
      <c r="X57" s="4"/>
      <c r="Y57" s="4"/>
      <c r="Z57" s="4"/>
      <c r="AA57" s="4"/>
      <c r="AB57" s="4"/>
      <c r="AC57" s="4"/>
      <c r="AD57" s="4"/>
      <c r="AE57" s="4"/>
    </row>
    <row r="58" ht="22.5" customHeight="1">
      <c r="A58" s="13">
        <v>49.0</v>
      </c>
      <c r="B58" s="21"/>
      <c r="C58" s="22"/>
      <c r="D58" s="22"/>
      <c r="E58" s="24"/>
      <c r="F58" s="26"/>
      <c r="G58" s="26"/>
      <c r="H58" s="4"/>
      <c r="I58" s="4"/>
      <c r="J58" s="4"/>
      <c r="K58" s="4"/>
      <c r="L58" s="4"/>
      <c r="M58" s="4"/>
      <c r="N58" s="4"/>
      <c r="O58" s="4"/>
      <c r="P58" s="4"/>
      <c r="Q58" s="4"/>
      <c r="R58" s="4"/>
      <c r="S58" s="4"/>
      <c r="T58" s="4"/>
      <c r="U58" s="4"/>
      <c r="V58" s="4"/>
      <c r="W58" s="4"/>
      <c r="X58" s="4"/>
      <c r="Y58" s="4"/>
      <c r="Z58" s="4"/>
      <c r="AA58" s="4"/>
      <c r="AB58" s="4"/>
      <c r="AC58" s="4"/>
      <c r="AD58" s="4"/>
      <c r="AE58" s="4"/>
    </row>
    <row r="59" ht="22.5" customHeight="1">
      <c r="A59" s="13">
        <v>50.0</v>
      </c>
      <c r="B59" s="21"/>
      <c r="C59" s="22"/>
      <c r="D59" s="22"/>
      <c r="E59" s="24"/>
      <c r="F59" s="26"/>
      <c r="G59" s="26"/>
      <c r="H59" s="4"/>
      <c r="I59" s="4"/>
      <c r="J59" s="4"/>
      <c r="K59" s="4"/>
      <c r="L59" s="4"/>
      <c r="M59" s="4"/>
      <c r="N59" s="4"/>
      <c r="O59" s="4"/>
      <c r="P59" s="4"/>
      <c r="Q59" s="4"/>
      <c r="R59" s="4"/>
      <c r="S59" s="4"/>
      <c r="T59" s="4"/>
      <c r="U59" s="4"/>
      <c r="V59" s="4"/>
      <c r="W59" s="4"/>
      <c r="X59" s="4"/>
      <c r="Y59" s="4"/>
      <c r="Z59" s="4"/>
      <c r="AA59" s="4"/>
      <c r="AB59" s="4"/>
      <c r="AC59" s="4"/>
      <c r="AD59" s="4"/>
      <c r="AE59" s="4"/>
    </row>
    <row r="60" ht="22.5" customHeight="1">
      <c r="A60" s="13">
        <v>51.0</v>
      </c>
      <c r="B60" s="21"/>
      <c r="C60" s="22"/>
      <c r="D60" s="22"/>
      <c r="E60" s="24"/>
      <c r="F60" s="26"/>
      <c r="G60" s="26"/>
      <c r="H60" s="4"/>
      <c r="I60" s="4"/>
      <c r="J60" s="4"/>
      <c r="K60" s="4"/>
      <c r="L60" s="4"/>
      <c r="M60" s="4"/>
      <c r="N60" s="4"/>
      <c r="O60" s="4"/>
      <c r="P60" s="4"/>
      <c r="Q60" s="4"/>
      <c r="R60" s="4"/>
      <c r="S60" s="4"/>
      <c r="T60" s="4"/>
      <c r="U60" s="4"/>
      <c r="V60" s="4"/>
      <c r="W60" s="4"/>
      <c r="X60" s="4"/>
      <c r="Y60" s="4"/>
      <c r="Z60" s="4"/>
      <c r="AA60" s="4"/>
      <c r="AB60" s="4"/>
      <c r="AC60" s="4"/>
      <c r="AD60" s="4"/>
      <c r="AE60" s="4"/>
    </row>
    <row r="61" ht="22.5" customHeight="1">
      <c r="A61" s="13">
        <v>52.0</v>
      </c>
      <c r="B61" s="21"/>
      <c r="C61" s="22"/>
      <c r="D61" s="22"/>
      <c r="E61" s="24"/>
      <c r="F61" s="26"/>
      <c r="G61" s="26"/>
      <c r="H61" s="4"/>
      <c r="I61" s="4"/>
      <c r="J61" s="4"/>
      <c r="K61" s="4"/>
      <c r="L61" s="4"/>
      <c r="M61" s="4"/>
      <c r="N61" s="4"/>
      <c r="O61" s="4"/>
      <c r="P61" s="4"/>
      <c r="Q61" s="4"/>
      <c r="R61" s="4"/>
      <c r="S61" s="4"/>
      <c r="T61" s="4"/>
      <c r="U61" s="4"/>
      <c r="V61" s="4"/>
      <c r="W61" s="4"/>
      <c r="X61" s="4"/>
      <c r="Y61" s="4"/>
      <c r="Z61" s="4"/>
      <c r="AA61" s="4"/>
      <c r="AB61" s="4"/>
      <c r="AC61" s="4"/>
      <c r="AD61" s="4"/>
      <c r="AE61" s="4"/>
    </row>
    <row r="62" ht="22.5" customHeight="1">
      <c r="A62" s="13">
        <v>53.0</v>
      </c>
      <c r="B62" s="21"/>
      <c r="C62" s="22"/>
      <c r="D62" s="22"/>
      <c r="E62" s="24"/>
      <c r="F62" s="26"/>
      <c r="G62" s="26"/>
      <c r="H62" s="4"/>
      <c r="I62" s="4"/>
      <c r="J62" s="4"/>
      <c r="K62" s="4"/>
      <c r="L62" s="4"/>
      <c r="M62" s="4"/>
      <c r="N62" s="4"/>
      <c r="O62" s="4"/>
      <c r="P62" s="4"/>
      <c r="Q62" s="4"/>
      <c r="R62" s="4"/>
      <c r="S62" s="4"/>
      <c r="T62" s="4"/>
      <c r="U62" s="4"/>
      <c r="V62" s="4"/>
      <c r="W62" s="4"/>
      <c r="X62" s="4"/>
      <c r="Y62" s="4"/>
      <c r="Z62" s="4"/>
      <c r="AA62" s="4"/>
      <c r="AB62" s="4"/>
      <c r="AC62" s="4"/>
      <c r="AD62" s="4"/>
      <c r="AE62" s="4"/>
    </row>
    <row r="63" ht="22.5" customHeight="1">
      <c r="A63" s="13">
        <v>54.0</v>
      </c>
      <c r="B63" s="21"/>
      <c r="C63" s="22"/>
      <c r="D63" s="22"/>
      <c r="E63" s="24"/>
      <c r="F63" s="26"/>
      <c r="G63" s="26"/>
      <c r="H63" s="4"/>
      <c r="I63" s="4"/>
      <c r="J63" s="4"/>
      <c r="K63" s="4"/>
      <c r="L63" s="4"/>
      <c r="M63" s="4"/>
      <c r="N63" s="4"/>
      <c r="O63" s="4"/>
      <c r="P63" s="4"/>
      <c r="Q63" s="4"/>
      <c r="R63" s="4"/>
      <c r="S63" s="4"/>
      <c r="T63" s="4"/>
      <c r="U63" s="4"/>
      <c r="V63" s="4"/>
      <c r="W63" s="4"/>
      <c r="X63" s="4"/>
      <c r="Y63" s="4"/>
      <c r="Z63" s="4"/>
      <c r="AA63" s="4"/>
      <c r="AB63" s="4"/>
      <c r="AC63" s="4"/>
      <c r="AD63" s="4"/>
      <c r="AE63" s="4"/>
    </row>
    <row r="64" ht="22.5" customHeight="1">
      <c r="A64" s="13">
        <v>55.0</v>
      </c>
      <c r="B64" s="21"/>
      <c r="C64" s="22"/>
      <c r="D64" s="22"/>
      <c r="E64" s="24"/>
      <c r="F64" s="26"/>
      <c r="G64" s="26"/>
      <c r="H64" s="4"/>
      <c r="I64" s="4"/>
      <c r="J64" s="4"/>
      <c r="K64" s="4"/>
      <c r="L64" s="4"/>
      <c r="M64" s="4"/>
      <c r="N64" s="4"/>
      <c r="O64" s="4"/>
      <c r="P64" s="4"/>
      <c r="Q64" s="4"/>
      <c r="R64" s="4"/>
      <c r="S64" s="4"/>
      <c r="T64" s="4"/>
      <c r="U64" s="4"/>
      <c r="V64" s="4"/>
      <c r="W64" s="4"/>
      <c r="X64" s="4"/>
      <c r="Y64" s="4"/>
      <c r="Z64" s="4"/>
      <c r="AA64" s="4"/>
      <c r="AB64" s="4"/>
      <c r="AC64" s="4"/>
      <c r="AD64" s="4"/>
      <c r="AE64" s="4"/>
    </row>
  </sheetData>
  <customSheetViews>
    <customSheetView guid="{A7ECEE3B-D976-46A3-9BA4-DECACC3C5EA1}" filter="1" showAutoFilter="1">
      <autoFilter ref="$A$9:$G$64"/>
    </customSheetView>
    <customSheetView guid="{C504BE18-173B-45C7-9926-A4124CC9E1F2}" filter="1" showAutoFilter="1">
      <autoFilter ref="$A$9:$G$64"/>
    </customSheetView>
  </customSheetViews>
  <mergeCells count="1">
    <mergeCell ref="B1:E1"/>
  </mergeCells>
  <dataValidations>
    <dataValidation type="list" allowBlank="1" sqref="B10:B64">
      <formula1>"H1: Visibility of System Status,H2: Match b/w System &amp; World,H3: User Control &amp; Freedom,H4: Consistency &amp; Standards,H5: Error Prevention,H6: Recognition not Recall,H7: Flexibility &amp; Efficiency of Use,H8: Aesthetic &amp; Minimalist Design,H9: Help Users with E"&amp;"rrors,H10: Help &amp; Documentation"</formula1>
    </dataValidation>
    <dataValidation type="list" allowBlank="1" sqref="D10:D64">
      <formula1>"0,1,2,3,4"</formula1>
    </dataValidation>
    <dataValidation type="list" allowBlank="1" sqref="C10:C64">
      <formula1>"1. Simple Task,2. Moderate Task,3. Complex Task,4. All Tasks,5. Extra Violations"</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s>
  <sheetData>
    <row r="1">
      <c r="A1" s="27" t="s">
        <v>123</v>
      </c>
      <c r="B1" s="28" t="s">
        <v>124</v>
      </c>
      <c r="D1" s="27" t="s">
        <v>125</v>
      </c>
      <c r="E1" s="29"/>
      <c r="F1" s="29"/>
      <c r="G1" s="30"/>
    </row>
    <row r="2">
      <c r="A2" s="31" t="s">
        <v>17</v>
      </c>
      <c r="B2" s="32">
        <f>COUNTIF('Individual Heuristic Evaluation'!B:B, "H1: Visibility of System Status")
</f>
        <v>3</v>
      </c>
      <c r="D2" s="33" t="s">
        <v>126</v>
      </c>
      <c r="G2" s="34"/>
    </row>
    <row r="3">
      <c r="A3" s="35" t="s">
        <v>33</v>
      </c>
      <c r="B3" s="36">
        <f>COUNTIF('Individual Heuristic Evaluation'!B:B, "H2: Match b/w System &amp; World")
</f>
        <v>2</v>
      </c>
      <c r="D3" s="37"/>
      <c r="G3" s="34"/>
    </row>
    <row r="4">
      <c r="A4" s="35" t="s">
        <v>43</v>
      </c>
      <c r="B4" s="36">
        <f>COUNTIF('Individual Heuristic Evaluation'!B:B, "H3: User Control &amp; Freedom")
</f>
        <v>3</v>
      </c>
      <c r="D4" s="37"/>
      <c r="G4" s="34"/>
    </row>
    <row r="5">
      <c r="A5" s="35" t="s">
        <v>52</v>
      </c>
      <c r="B5" s="36">
        <f>COUNTIF('Individual Heuristic Evaluation'!B:B, "H4: Consistency &amp; Standards")
</f>
        <v>2</v>
      </c>
      <c r="D5" s="37"/>
      <c r="G5" s="34"/>
    </row>
    <row r="6">
      <c r="A6" s="35" t="s">
        <v>61</v>
      </c>
      <c r="B6" s="36">
        <f>COUNTIF('Individual Heuristic Evaluation'!B:B, "H5: Error Prevention")
</f>
        <v>2</v>
      </c>
      <c r="D6" s="37"/>
      <c r="G6" s="34"/>
    </row>
    <row r="7">
      <c r="A7" s="35" t="s">
        <v>70</v>
      </c>
      <c r="B7" s="36">
        <f>COUNTIF('Individual Heuristic Evaluation'!B:B, "H6: Recognition not Recall")
</f>
        <v>3</v>
      </c>
      <c r="D7" s="37"/>
      <c r="G7" s="34"/>
    </row>
    <row r="8">
      <c r="A8" s="35" t="s">
        <v>79</v>
      </c>
      <c r="B8" s="36">
        <f>COUNTIF('Individual Heuristic Evaluation'!B:B, "H7: Flexibility &amp; Efficiency of Use")
</f>
        <v>2</v>
      </c>
      <c r="D8" s="37"/>
      <c r="G8" s="34"/>
    </row>
    <row r="9">
      <c r="A9" s="35" t="s">
        <v>88</v>
      </c>
      <c r="B9" s="36">
        <f>COUNTIF('Individual Heuristic Evaluation'!B:B, "H8: Aesthetic &amp; Minimalist Design")
</f>
        <v>2</v>
      </c>
      <c r="D9" s="37"/>
      <c r="G9" s="34"/>
    </row>
    <row r="10">
      <c r="A10" s="35" t="s">
        <v>97</v>
      </c>
      <c r="B10" s="36">
        <f>COUNTIF('Individual Heuristic Evaluation'!B:B, "H9: Help Users with Errors")
</f>
        <v>2</v>
      </c>
      <c r="D10" s="37"/>
      <c r="G10" s="34"/>
    </row>
    <row r="11">
      <c r="A11" s="35" t="s">
        <v>106</v>
      </c>
      <c r="B11" s="36">
        <f>COUNTIF('Individual Heuristic Evaluation'!B:B, "H10: Help &amp; Documentation")
</f>
        <v>2</v>
      </c>
      <c r="D11" s="37"/>
      <c r="G11" s="34"/>
    </row>
    <row r="12">
      <c r="A12" s="35"/>
      <c r="B12" s="36"/>
      <c r="D12" s="37"/>
      <c r="G12" s="34"/>
    </row>
    <row r="13">
      <c r="A13" s="35"/>
      <c r="B13" s="36"/>
      <c r="D13" s="37"/>
      <c r="G13" s="34"/>
    </row>
    <row r="14" ht="418.5" customHeight="1">
      <c r="A14" s="38" t="s">
        <v>127</v>
      </c>
      <c r="B14" s="39">
        <f>SUM(B2:B13)</f>
        <v>23</v>
      </c>
      <c r="D14" s="40"/>
      <c r="E14" s="41"/>
      <c r="F14" s="41"/>
      <c r="G14" s="42"/>
    </row>
  </sheetData>
  <mergeCells count="2">
    <mergeCell ref="D1:G1"/>
    <mergeCell ref="D2:G14"/>
  </mergeCells>
  <drawing r:id="rId1"/>
</worksheet>
</file>